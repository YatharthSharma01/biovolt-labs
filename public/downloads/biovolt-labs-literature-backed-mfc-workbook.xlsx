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7086996a1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e25b0b62f214717"/>
    <x:sheet xmlns:r="http://schemas.openxmlformats.org/officeDocument/2006/relationships" name="Protocol Profiles" sheetId="2" r:id="R0ce36338ca764426"/>
    <x:sheet xmlns:r="http://schemas.openxmlformats.org/officeDocument/2006/relationships" name="Experiment Metadata" sheetId="3" r:id="R748ffcdaff0b4bf7"/>
    <x:sheet xmlns:r="http://schemas.openxmlformats.org/officeDocument/2006/relationships" name="Measurement Plan" sheetId="4" r:id="Rff729980fd644687"/>
    <x:sheet xmlns:r="http://schemas.openxmlformats.org/officeDocument/2006/relationships" name="Raw Measurements" sheetId="5" r:id="R8ef488acf3fe4863"/>
    <x:sheet xmlns:r="http://schemas.openxmlformats.org/officeDocument/2006/relationships" name="Calculations" sheetId="6" r:id="R4fe1fffa8dbb425b"/>
    <x:sheet xmlns:r="http://schemas.openxmlformats.org/officeDocument/2006/relationships" name="Results" sheetId="7" r:id="Rb2d1a6b9b25545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 hh:mm"/>
    <x:numFmt numFmtId="202" formatCode="0.000"/>
  </x:numFmts>
  <x:fonts count="8">
    <x:font>
      <x:sz val="11"/>
      <x:name val="Carlito"/>
    </x:font>
    <x:font>
      <x:sz val="10"/>
      <x:color rgb="FF19201B"/>
      <x:name val="Aptos"/>
    </x:font>
    <x:font>
      <x:b/>
      <x:sz val="22"/>
      <x:color rgb="FFFFFFFF"/>
      <x:name val="Georgia"/>
    </x:font>
    <x:font>
      <x:b/>
      <x:sz val="9"/>
      <x:color rgb="FFFFFFFF"/>
      <x:name val="Aptos"/>
    </x:font>
    <x:font>
      <x:b/>
      <x:sz val="10"/>
      <x:color rgb="FF174EE6"/>
      <x:name val="Aptos"/>
    </x:font>
    <x:font>
      <x:b/>
      <x:sz val="10"/>
      <x:color rgb="FF19201B"/>
      <x:name val="Aptos"/>
    </x:font>
    <x:font>
      <x:i/>
      <x:sz val="10"/>
      <x:color rgb="FF5C625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F4F1E8"/>
      </x:patternFill>
    </x:fill>
    <x:fill>
      <x:patternFill patternType="solid">
        <x:fgColor rgb="FF19201B"/>
      </x:patternFill>
    </x:fill>
    <x:fill>
      <x:patternFill patternType="solid">
        <x:fgColor rgb="FF174EE6"/>
      </x:patternFill>
    </x:fill>
    <x:fill>
      <x:patternFill patternType="solid">
        <x:fgColor rgb="FFDCE5FF"/>
      </x:patternFill>
    </x:fill>
    <x:fill>
      <x:patternFill patternType="solid">
        <x:fgColor rgb="FFE8E5DC"/>
      </x:patternFill>
    </x:fill>
  </x:fills>
  <x:borders count="5">
    <x:border/>
    <x:border>
      <x:bottom style="medium">
        <x:color rgb="FF174EE6"/>
      </x:bottom>
    </x:border>
    <x:border>
      <x:bottom style="thin">
        <x:color rgb="FFC9C7BF"/>
      </x:bottom>
    </x:border>
    <x:border>
      <x:top style="thin">
        <x:color rgb="FFC9C7BF"/>
      </x:top>
      <x:bottom style="thin">
        <x:color rgb="FFC9C7BF"/>
      </x:bottom>
    </x:border>
    <x:border>
      <x:top style="thin">
        <x:color rgb="FFC9C7BF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0" fontId="1" fillId="2" borderId="2" xfId="0" applyNumberFormat="1" applyFont="1" applyFill="1" applyBorder="1"/>
    <x:xf numFmtId="200" fontId="1" fillId="2" borderId="2" xfId="0" applyNumberFormat="1" applyFont="1" applyFill="1" applyBorder="1"/>
    <x:xf numFmtId="201" fontId="1" fillId="2" borderId="2" xfId="0" applyNumberFormat="1" applyFont="1" applyFill="1" applyBorder="1"/>
    <x:xf numFmtId="202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3" xfId="0" applyNumberFormat="1" applyFont="1" applyFill="1" applyBorder="1"/>
    <x:xf numFmtId="201" fontId="1" fillId="2" borderId="3" xfId="0" applyNumberFormat="1" applyFont="1" applyFill="1" applyBorder="1"/>
    <x:xf numFmtId="202" fontId="1" fillId="2" borderId="3" xfId="0" applyNumberFormat="1" applyFont="1" applyFill="1" applyBorder="1"/>
    <x:xf numFmtId="0" fontId="1" fillId="2" borderId="4" xfId="0" applyNumberFormat="1" applyFont="1" applyFill="1" applyBorder="1"/>
    <x:xf numFmtId="200" fontId="1" fillId="2" borderId="4" xfId="0" applyNumberFormat="1" applyFont="1" applyFill="1" applyBorder="1"/>
    <x:xf numFmtId="201" fontId="1" fillId="2" borderId="4" xfId="0" applyNumberFormat="1" applyFont="1" applyFill="1" applyBorder="1"/>
    <x:xf numFmtId="202" fontId="1" fillId="2" borderId="4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16385bd444b93" /><Relationship Type="http://schemas.openxmlformats.org/officeDocument/2006/relationships/theme" Target="/xl/theme/theme1.xml" Id="R738b942f177a4963" /><Relationship Type="http://schemas.openxmlformats.org/officeDocument/2006/relationships/sharedStrings" Target="/xl/sharedStrings.xml" Id="R3398719b7e504824" /><Relationship Type="http://schemas.openxmlformats.org/officeDocument/2006/relationships/worksheet" Target="/xl/worksheets/sheet1.xml" Id="R1e25b0b62f214717" /><Relationship Type="http://schemas.openxmlformats.org/officeDocument/2006/relationships/worksheet" Target="/xl/worksheets/sheet2.xml" Id="R0ce36338ca764426" /><Relationship Type="http://schemas.openxmlformats.org/officeDocument/2006/relationships/worksheet" Target="/xl/worksheets/sheet3.xml" Id="R748ffcdaff0b4bf7" /><Relationship Type="http://schemas.openxmlformats.org/officeDocument/2006/relationships/worksheet" Target="/xl/worksheets/sheet4.xml" Id="Rff729980fd644687" /><Relationship Type="http://schemas.openxmlformats.org/officeDocument/2006/relationships/worksheet" Target="/xl/worksheets/sheet5.xml" Id="R8ef488acf3fe4863" /><Relationship Type="http://schemas.openxmlformats.org/officeDocument/2006/relationships/worksheet" Target="/xl/worksheets/sheet6.xml" Id="R4fe1fffa8dbb425b" /><Relationship Type="http://schemas.openxmlformats.org/officeDocument/2006/relationships/worksheet" Target="/xl/worksheets/sheet7.xml" Id="Rb2d1a6b9b25545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  <x:col min="3" max="3" width="35" hidden="0" customWidth="1"/>
    <x:col min="4" max="4" width="35" hidden="0" customWidth="1"/>
  </x:cols>
  <x:sheetData>
    <x:row r="1" ht="34" customHeight="1">
      <x:c r="A1" s="5" t="str">
        <x:v>BioVolt Labs - literature-backed MFC workbook</x:v>
      </x:c>
      <x:c r="B1" s="2"/>
      <x:c r="C1" s="2"/>
      <x:c r="D1" s="2"/>
      <x:c r="E1" s="2"/>
      <x:c r="F1" s="2"/>
      <x:c r="G1" s="2"/>
      <x:c r="H1" s="2"/>
    </x:row>
    <x:row r="2" ht="23" customHeight="1">
      <x:c r="A2" s="8" t="str">
        <x:v>Version 2.0 - protocol duration is selected from evidence, never assumed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10" t="str">
        <x:v>PURPOSE: PLAN A TRACEABLE REPEAT EXPERIMENT WITHOUT TREATING 72 HOURS AS A STANDARD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14" t="str">
        <x:v>Step</x:v>
      </x:c>
      <x:c r="B6" s="14" t="str">
        <x:v>Laboratory action</x:v>
      </x:c>
      <x:c r="C6" s="2"/>
      <x:c r="D6" s="2"/>
      <x:c r="E6" s="2"/>
      <x:c r="F6" s="2"/>
      <x:c r="G6" s="2"/>
      <x:c r="H6" s="2"/>
    </x:row>
    <x:row r="7">
      <x:c r="A7" s="17" t="str">
        <x:v>1</x:v>
      </x:c>
      <x:c r="B7" s="18" t="str">
        <x:v>Choose a scientific objective and review the five source-specific profiles.</x:v>
      </x:c>
      <x:c r="C7" s="2"/>
      <x:c r="D7" s="2"/>
      <x:c r="E7" s="2"/>
      <x:c r="F7" s="2"/>
      <x:c r="G7" s="2"/>
      <x:c r="H7" s="2"/>
    </x:row>
    <x:row r="8">
      <x:c r="A8" s="17" t="str">
        <x:v>2</x:v>
      </x:c>
      <x:c r="B8" s="18" t="str">
        <x:v>Select one profile in Experiment Metadata or document a supervisor-approved custom plan.</x:v>
      </x:c>
      <x:c r="C8" s="2"/>
      <x:c r="D8" s="2"/>
      <x:c r="E8" s="2"/>
      <x:c r="F8" s="2"/>
      <x:c r="G8" s="2"/>
      <x:c r="H8" s="2"/>
    </x:row>
    <x:row r="9">
      <x:c r="A9" s="17" t="str">
        <x:v>3</x:v>
      </x:c>
      <x:c r="B9" s="18" t="str">
        <x:v>Define start-up stabilization, cycle-completion and experiment stop rules before assembly.</x:v>
      </x:c>
      <x:c r="C9" s="2"/>
      <x:c r="D9" s="2"/>
      <x:c r="E9" s="2"/>
      <x:c r="F9" s="2"/>
      <x:c r="G9" s="2"/>
      <x:c r="H9" s="2"/>
    </x:row>
    <x:row r="10">
      <x:c r="A10" s="17" t="str">
        <x:v>4</x:v>
      </x:c>
      <x:c r="B10" s="18" t="str">
        <x:v>Enter one timestamped raw observation per row; identify reactor, replicate, cycle, phase and circuit state.</x:v>
      </x:c>
      <x:c r="C10" s="2"/>
      <x:c r="D10" s="2"/>
      <x:c r="E10" s="2"/>
      <x:c r="F10" s="2"/>
      <x:c r="G10" s="2"/>
      <x:c r="H10" s="2"/>
    </x:row>
    <x:row r="11">
      <x:c r="A11" s="17" t="str">
        <x:v>5</x:v>
      </x:c>
      <x:c r="B11" s="18" t="str">
        <x:v>Keep OCV, loaded, polarization, short-circuit and treatment-only observations separate.</x:v>
      </x:c>
      <x:c r="C11" s="2"/>
      <x:c r="D11" s="2"/>
      <x:c r="E11" s="2"/>
      <x:c r="F11" s="2"/>
      <x:c r="G11" s="2"/>
      <x:c r="H11" s="2"/>
    </x:row>
    <x:row r="12">
      <x:c r="A12" s="17" t="str">
        <x:v>6</x:v>
      </x:c>
      <x:c r="B12" s="18" t="str">
        <x:v>Review formula-derived values in Calculations and completeness checks in Results.</x:v>
      </x:c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14" t="str">
        <x:v>Scientific boundary</x:v>
      </x:c>
      <x:c r="B14" s="14" t="str">
        <x:v>Rule</x:v>
      </x:c>
      <x:c r="C14" s="14" t="str">
        <x:v>Reason</x:v>
      </x:c>
      <x:c r="D14" s="14" t="str">
        <x:v>Workbook control</x:v>
      </x:c>
      <x:c r="E14" s="2"/>
      <x:c r="F14" s="2"/>
      <x:c r="G14" s="2"/>
      <x:c r="H14" s="2"/>
    </x:row>
    <x:row r="15">
      <x:c r="A15" s="18" t="str">
        <x:v>Incomplete prior voltage record</x:v>
      </x:c>
      <x:c r="B15" s="18" t="str">
        <x:v>Retain the recorded 72-hour duration; do not infer a sampling interval</x:v>
      </x:c>
      <x:c r="C15" s="18" t="str">
        <x:v>Only a single voltage reading was retained; no continuous time series</x:v>
      </x:c>
      <x:c r="D15" s="18" t="str">
        <x:v>Duration retained; logging plan blank until selected</x:v>
      </x:c>
      <x:c r="E15" s="2"/>
      <x:c r="F15" s="2"/>
      <x:c r="G15" s="2"/>
      <x:c r="H15" s="2"/>
    </x:row>
    <x:row r="16">
      <x:c r="A16" s="18" t="str">
        <x:v>Paper-specific timelines</x:v>
      </x:c>
      <x:c r="B16" s="18" t="str">
        <x:v>Do not pool 24 h, 4-day, 5-day and 15-day designs</x:v>
      </x:c>
      <x:c r="C16" s="18" t="str">
        <x:v>They answer different questions</x:v>
      </x:c>
      <x:c r="D16" s="18" t="str">
        <x:v>Protocol_ID on every row</x:v>
      </x:c>
      <x:c r="E16" s="2"/>
      <x:c r="F16" s="2"/>
      <x:c r="G16" s="2"/>
      <x:c r="H16" s="2"/>
    </x:row>
    <x:row r="17">
      <x:c r="A17" s="18" t="str">
        <x:v>Unspecified intervals</x:v>
      </x:c>
      <x:c r="B17" s="18" t="str">
        <x:v>Retain 'not reported' where the paper is silent</x:v>
      </x:c>
      <x:c r="C17" s="18" t="str">
        <x:v>Prevents fabricated precision</x:v>
      </x:c>
      <x:c r="D17" s="18" t="str">
        <x:v>Evidence boundary column</x:v>
      </x:c>
      <x:c r="E17" s="2"/>
      <x:c r="F17" s="2"/>
      <x:c r="G17" s="2"/>
      <x:c r="H17" s="2"/>
    </x:row>
    <x:row r="18">
      <x:c r="A18" s="18" t="str">
        <x:v>Circuit state</x:v>
      </x:c>
      <x:c r="B18" s="18" t="str">
        <x:v>Keep OCV and loaded voltage separate</x:v>
      </x:c>
      <x:c r="C18" s="18" t="str">
        <x:v>OCV cannot produce loaded power</x:v>
      </x:c>
      <x:c r="D18" s="18" t="str">
        <x:v>Separate raw columns</x:v>
      </x:c>
      <x:c r="E18" s="2"/>
      <x:c r="F18" s="2"/>
      <x:c r="G18" s="2"/>
      <x:c r="H18" s="2"/>
    </x:row>
    <x:row r="19">
      <x:c r="A19" s="18" t="str">
        <x:v>Treatment objective</x:v>
      </x:c>
      <x:c r="B19" s="18" t="str">
        <x:v>Keep short-circuit COD results separate from power</x:v>
      </x:c>
      <x:c r="C19" s="18" t="str">
        <x:v>Short circuit gives no external harvestable power</x:v>
      </x:c>
      <x:c r="D19" s="18" t="str">
        <x:v>Circuit-state field</x:v>
      </x:c>
      <x:c r="E19" s="2"/>
      <x:c r="F19" s="2"/>
      <x:c r="G19" s="2"/>
      <x:c r="H19" s="2"/>
    </x:row>
    <x:row r="20">
      <x:c r="A20" s="18" t="str">
        <x:v>Raw versus derived</x:v>
      </x:c>
      <x:c r="B20" s="18" t="str">
        <x:v>Never overwrite raw observations with formulas</x:v>
      </x:c>
      <x:c r="C20" s="18" t="str">
        <x:v>Preserves provenance</x:v>
      </x:c>
      <x:c r="D20" s="18" t="str">
        <x:v>Separated sheets</x:v>
      </x:c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1" t="str">
        <x:v>Current recommendation</x:v>
      </x:c>
      <x:c r="B22" s="18" t="str">
        <x:v>Start from VIJAY-2018-5DAY only if the objective is a Sambhar halophile fed-batch study; document reactor differences.</x:v>
      </x:c>
      <x:c r="C22" s="2"/>
      <x:c r="D22" s="2"/>
      <x:c r="E22" s="2"/>
      <x:c r="F22" s="2"/>
      <x:c r="G22" s="2"/>
      <x:c r="H22" s="2"/>
    </x:row>
    <x:row r="23">
      <x:c r="A23" s="21" t="str">
        <x:v>Electrical cadence</x:v>
      </x:c>
      <x:c r="B23" s="18" t="str">
        <x:v>Use hourly logging for short Pseudomonas/substrate-response batches; automate logging for longer cycles.</x:v>
      </x:c>
      <x:c r="C23" s="2"/>
      <x:c r="D23" s="2"/>
      <x:c r="E23" s="2"/>
      <x:c r="F23" s="2"/>
      <x:c r="G23" s="2"/>
      <x:c r="H23" s="2"/>
    </x:row>
    <x:row r="24">
      <x:c r="A24" s="21" t="str">
        <x:v>Chemistry cadence</x:v>
      </x:c>
      <x:c r="B24" s="18" t="str">
        <x:v>Record temperature, pH, conductivity and salinity at least daily in a multi-day study.</x:v>
      </x:c>
      <x:c r="C24" s="2"/>
      <x:c r="D24" s="2"/>
      <x:c r="E24" s="2"/>
      <x:c r="F24" s="2"/>
      <x:c r="G24" s="2"/>
      <x:c r="H24" s="2"/>
    </x:row>
    <x:row r="25">
      <x:c r="A25" s="21" t="str">
        <x:v>COD</x:v>
      </x:c>
      <x:c r="B25" s="18" t="str">
        <x:v>Pair initial and final COD within the same treatment window; intermediate sampling requires a volume plan.</x:v>
      </x:c>
      <x:c r="C25" s="2"/>
      <x:c r="D25" s="2"/>
      <x:c r="E25" s="2"/>
      <x:c r="F25" s="2"/>
      <x:c r="G25" s="2"/>
      <x:c r="H25" s="2"/>
    </x:row>
    <x:row r="26">
      <x:c r="A26" s="21" t="str">
        <x:v>Polarization</x:v>
      </x:c>
      <x:c r="B26" s="18" t="str">
        <x:v>Run only after stable output and store every resistance step separately.</x:v>
      </x:c>
      <x:c r="C26" s="2"/>
      <x:c r="D26" s="2"/>
      <x:c r="E26" s="2"/>
      <x:c r="F26" s="2"/>
      <x:c r="G26" s="2"/>
      <x:c r="H26" s="2"/>
    </x:row>
    <x:row r="27">
      <x:c r="A27" s="21" t="str">
        <x:v>Approval</x:v>
      </x:c>
      <x:c r="B27" s="18" t="str">
        <x:v>Review the selected protocol, controls, replicates and stop rules with the laboratory supervisor.</x:v>
      </x:c>
      <x:c r="C27" s="2"/>
      <x:c r="D27" s="2"/>
      <x:c r="E27" s="2"/>
      <x:c r="F27" s="2"/>
      <x:c r="G27" s="2"/>
      <x:c r="H27" s="2"/>
    </x:row>
  </x:sheetData>
  <x:mergeCells>
    <x:mergeCell ref="A1:H1"/>
    <x:mergeCell ref="A2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0" hidden="0" customWidth="1"/>
    <x:col min="11" max="11" width="39" hidden="0" customWidth="1"/>
  </x:cols>
  <x:sheetData>
    <x:row r="1" ht="34" customHeight="1">
      <x:c r="A1" s="5" t="str">
        <x:v>Protocol profiles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8" t="str">
        <x:v>Exact timelines and measurement language from the supplied papers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2" t="str">
        <x:v>Select by scientific objective. A profile is an evidence reference, not permission to copy incompatible reactor conditions.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14" t="str">
        <x:v>Protocol_ID</x:v>
      </x:c>
      <x:c r="B6" s="14" t="str">
        <x:v>Objective</x:v>
      </x:c>
      <x:c r="C6" s="14" t="str">
        <x:v>Timeline</x:v>
      </x:c>
      <x:c r="D6" s="14" t="str">
        <x:v>Electrical cadence</x:v>
      </x:c>
      <x:c r="E6" s="14" t="str">
        <x:v>Load plan</x:v>
      </x:c>
      <x:c r="F6" s="14" t="str">
        <x:v>Chemistry</x:v>
      </x:c>
      <x:c r="G6" s="14" t="str">
        <x:v>Replication</x:v>
      </x:c>
      <x:c r="H6" s="14" t="str">
        <x:v>Best use</x:v>
      </x:c>
      <x:c r="I6" s="14" t="str">
        <x:v>Evidence boundary</x:v>
      </x:c>
      <x:c r="J6" s="14" t="str">
        <x:v>Source locator</x:v>
      </x:c>
      <x:c r="K6" s="14" t="str">
        <x:v>Source URL</x:v>
      </x:c>
    </x:row>
    <x:row r="7" ht="70" customHeight="1">
      <x:c r="A7" s="22" t="str">
        <x:v>ALI-2017-HOURLY</x:v>
      </x:c>
      <x:c r="B7" s="18" t="str">
        <x:v>Pseudomonas sugar response</x:v>
      </x:c>
      <x:c r="C7" s="18" t="str">
        <x:v>21-day biofilm; medium refreshed every 3 days; batch response about 24-49 h</x:v>
      </x:c>
      <x:c r="D7" s="18" t="str">
        <x:v>Every hour</x:v>
      </x:c>
      <x:c r="E7" s="18" t="str">
        <x:v>100 ohm; polarization 20-80,000 ohm after stabilization</x:v>
      </x:c>
      <x:c r="F7" s="18" t="str">
        <x:v>Initial/final COD and BOD5</x:v>
      </x:c>
      <x:c r="G7" s="18" t="str">
        <x:v>Duplicate</x:v>
      </x:c>
      <x:c r="H7" s="18" t="str">
        <x:v>Short substrate-response test</x:v>
      </x:c>
      <x:c r="I7" s="18" t="str">
        <x:v>Normalization conflicts require reconciliation</x:v>
      </x:c>
      <x:c r="J7" s="18" t="str">
        <x:v>PDF 1, pp. 3-4</x:v>
      </x:c>
      <x:c r="K7" s="18" t="str">
        <x:v>https://doi.org/10.15171/ijb.1608</x:v>
      </x:c>
    </x:row>
    <x:row r="8" ht="70" customHeight="1">
      <x:c r="A8" s="22" t="str">
        <x:v>VIJAY-2023-4DAY</x:v>
      </x:c>
      <x:c r="B8" s="18" t="str">
        <x:v>Halophile salinity and denitrification</x:v>
      </x:c>
      <x:c r="C8" s="18" t="str">
        <x:v>9-day OCV start-up; seven 4-day fed-batch cycles</x:v>
      </x:c>
      <x:c r="D8" s="18" t="str">
        <x:v>Regular DAQ; interval not reported</x:v>
      </x:c>
      <x:c r="E8" s="18" t="str">
        <x:v>100 ohm; final-cycle polarization 50,000-5 ohm</x:v>
      </x:c>
      <x:c r="F8" s="18" t="str">
        <x:v>pH, conductivity, salinity, TDS, COD, nitrate</x:v>
      </x:c>
      <x:c r="G8" s="18" t="str">
        <x:v>Duplicate + abiotic controls</x:v>
      </x:c>
      <x:c r="H8" s="18" t="str">
        <x:v>Salinity/COD/nitrate comparison</x:v>
      </x:c>
      <x:c r="I8" s="18" t="str">
        <x:v>Observed 9-day stabilization is study-specific</x:v>
      </x:c>
      <x:c r="J8" s="18" t="str">
        <x:v>PDF 2, pp. 3-9</x:v>
      </x:c>
      <x:c r="K8" s="18" t="str">
        <x:v>https://doi.org/10.3390/en16020877</x:v>
      </x:c>
    </x:row>
    <x:row r="9" ht="70" customHeight="1">
      <x:c r="A9" s="22" t="str">
        <x:v>VIJAY-2018-5DAY</x:v>
      </x:c>
      <x:c r="B9" s="18" t="str">
        <x:v>Sambhar starch and salinity</x:v>
      </x:c>
      <x:c r="C9" s="18" t="str">
        <x:v>First 4 days OCV; seven 5-day fed-batch cycles; electrochemistry in cycle 6 or 7</x:v>
      </x:c>
      <x:c r="D9" s="18" t="str">
        <x:v>Different intervals; exact interval not reported</x:v>
      </x:c>
      <x:c r="E9" s="18" t="str">
        <x:v>100 ohm; polarization 50,000-5 ohm after stabilization</x:v>
      </x:c>
      <x:c r="F9" s="18" t="str">
        <x:v>pH, conductivity, salinity, TDS, turbidity, starch, amylase, ammonium</x:v>
      </x:c>
      <x:c r="G9" s="18" t="str">
        <x:v>Three MFCs per salinity + abiotic controls</x:v>
      </x:c>
      <x:c r="H9" s="18" t="str">
        <x:v>Closest biological analogue</x:v>
      </x:c>
      <x:c r="I9" s="18" t="str">
        <x:v>Electrodes, membrane and cathode differ from college reactor</x:v>
      </x:c>
      <x:c r="J9" s="18" t="str">
        <x:v>PDF 11, pp. 2-3; private source not redistributed</x:v>
      </x:c>
      <x:c r="K9" s="18" t="str">
        <x:v>https://doi.org/10.1016/j.biortech.2018.02.044</x:v>
      </x:c>
    </x:row>
    <x:row r="10" ht="70" customHeight="1">
      <x:c r="A10" s="22" t="str">
        <x:v>NASTRO-2021-DAILY</x:v>
      </x:c>
      <x:c r="B10" s="18" t="str">
        <x:v>Cathode durability and fouling</x:v>
      </x:c>
      <x:c r="C10" s="18" t="str">
        <x:v>Three 15-day cycles; 24 h OCV, 24 h at 1,000 ohm, POL, 24 h maximum power, OCV to stabilization</x:v>
      </x:c>
      <x:c r="D10" s="18" t="str">
        <x:v>Microcontroller output; daily supporting measurements</x:v>
      </x:c>
      <x:c r="E10" s="18" t="str">
        <x:v>12-step polarization 100,000-100 ohm</x:v>
      </x:c>
      <x:c r="F10" s="18" t="str">
        <x:v>Daily pH</x:v>
      </x:c>
      <x:c r="G10" s="18" t="str">
        <x:v>Duplicate; three cycles</x:v>
      </x:c>
      <x:c r="H10" s="18" t="str">
        <x:v>Durability, reuse and fouling</x:v>
      </x:c>
      <x:c r="I10" s="18" t="str">
        <x:v>Solid-feed system and unusual density normalization</x:v>
      </x:c>
      <x:c r="J10" s="18" t="str">
        <x:v>PDF 7, p. 5</x:v>
      </x:c>
      <x:c r="K10" s="18" t="str">
        <x:v>https://doi.org/10.3390/pr9111941</x:v>
      </x:c>
    </x:row>
    <x:row r="11" ht="70" customHeight="1">
      <x:c r="A11" s="22" t="str">
        <x:v>ERABLE-2011-COD24</x:v>
      </x:c>
      <x:c r="B11" s="18" t="str">
        <x:v>COD-treatment comparison</x:v>
      </x:c>
      <x:c r="C11" s="18" t="str">
        <x:v>Three successive 24 h batches; separate periodic monitoring about 4-5 days</x:v>
      </x:c>
      <x:c r="D11" s="18" t="str">
        <x:v>Polarization after 15 min stabilization</x:v>
      </x:c>
      <x:c r="E11" s="18" t="str">
        <x:v>1,000 ohm versus short circuit and treatment-only modes</x:v>
      </x:c>
      <x:c r="F11" s="18" t="str">
        <x:v>Duplicate COD with electrode-free control</x:v>
      </x:c>
      <x:c r="G11" s="18" t="str">
        <x:v>Three batches; four configurations in parallel</x:v>
      </x:c>
      <x:c r="H11" s="18" t="str">
        <x:v>COD treatment objective</x:v>
      </x:c>
      <x:c r="I11" s="18" t="str">
        <x:v>24 h endpoint is not a complete electricity timeline</x:v>
      </x:c>
      <x:c r="J11" s="18" t="str">
        <x:v>COD removal PDF, pp. 4-8</x:v>
      </x:c>
      <x:c r="K11" s="18" t="str">
        <x:v>https://doi.org/10.1080/08927014.2011.564615</x:v>
      </x:c>
    </x:row>
  </x:sheetData>
  <x:mergeCells>
    <x:mergeCell ref="A1:K1"/>
    <x:mergeCell ref="A2:K2"/>
    <x:mergeCell ref="A4:K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30" hidden="0" customWidth="1"/>
    <x:col min="4" max="4" width="57" hidden="0" customWidth="1"/>
  </x:cols>
  <x:sheetData>
    <x:row r="1" ht="34" customHeight="1">
      <x:c r="A1" s="5" t="str">
        <x:v>Experiment metadata</x:v>
      </x:c>
      <x:c r="B1" s="2"/>
      <x:c r="C1" s="2"/>
      <x:c r="D1" s="2"/>
    </x:row>
    <x:row r="2" ht="23" customHeight="1">
      <x:c r="A2" s="8" t="str">
        <x:v>Choose the objective, profile and stop rules before the run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14" t="str">
        <x:v>Field</x:v>
      </x:c>
      <x:c r="B4" s="14" t="str">
        <x:v>Value</x:v>
      </x:c>
      <x:c r="C4" s="14" t="str">
        <x:v>Unit / controlled term</x:v>
      </x:c>
      <x:c r="D4" s="14" t="str">
        <x:v>Source or protocol note</x:v>
      </x:c>
    </x:row>
    <x:row r="5">
      <x:c r="A5" s="21" t="str">
        <x:v>Experiment code</x:v>
      </x:c>
      <x:c r="B5" s="18" t="str">
        <x:v>BIOVOLT-REPEAT-001</x:v>
      </x:c>
      <x:c r="C5" s="18" t="str">
        <x:v>text</x:v>
      </x:c>
      <x:c r="D5" s="18" t="str">
        <x:v>Assign a unique code before the run</x:v>
      </x:c>
    </x:row>
    <x:row r="6">
      <x:c r="A6" s="21" t="str">
        <x:v>Experiment title</x:v>
      </x:c>
      <x:c r="B6" s="18" t="str"/>
      <x:c r="C6" s="18" t="str">
        <x:v>text</x:v>
      </x:c>
      <x:c r="D6" s="18" t="str">
        <x:v>Do not include an assumed duration</x:v>
      </x:c>
    </x:row>
    <x:row r="7">
      <x:c r="A7" s="21" t="str">
        <x:v>Scientific objective</x:v>
      </x:c>
      <x:c r="B7" s="18" t="str"/>
      <x:c r="C7" s="18" t="str">
        <x:v>substrate response / halophile acclimation / COD / durability</x:v>
      </x:c>
      <x:c r="D7" s="18" t="str">
        <x:v>Select before timeline</x:v>
      </x:c>
    </x:row>
    <x:row r="8">
      <x:c r="A8" s="21" t="str">
        <x:v>Selected protocol</x:v>
      </x:c>
      <x:c r="B8" s="18" t="str"/>
      <x:c r="C8" s="18" t="str">
        <x:v>Protocol_ID</x:v>
      </x:c>
      <x:c r="D8" s="18" t="str">
        <x:v>Choose from Protocol Profiles or enter CUSTOM-APPROVED</x:v>
      </x:c>
    </x:row>
    <x:row r="9">
      <x:c r="A9" s="21" t="str">
        <x:v>Protocol deviation summary</x:v>
      </x:c>
      <x:c r="B9" s="18" t="str"/>
      <x:c r="C9" s="18" t="str">
        <x:v>text</x:v>
      </x:c>
      <x:c r="D9" s="18" t="str">
        <x:v>List every change from the cited profile</x:v>
      </x:c>
    </x:row>
    <x:row r="10">
      <x:c r="A10" s="21" t="str">
        <x:v>Start date and time</x:v>
      </x:c>
      <x:c r="B10" s="18" t="str"/>
      <x:c r="C10" s="18" t="str">
        <x:v>yyyy-mm-dd hh:mm</x:v>
      </x:c>
      <x:c r="D10" s="18" t="str">
        <x:v>Editable</x:v>
      </x:c>
    </x:row>
    <x:row r="11">
      <x:c r="A11" s="21" t="str">
        <x:v>Planned number of reactors</x:v>
      </x:c>
      <x:c r="B11" s="18" t="str"/>
      <x:c r="C11" s="18" t="str">
        <x:v>n</x:v>
      </x:c>
      <x:c r="D11" s="18" t="str">
        <x:v>Independent reactors, not repeated readings</x:v>
      </x:c>
    </x:row>
    <x:row r="12">
      <x:c r="A12" s="21" t="str">
        <x:v>Planned cycles</x:v>
      </x:c>
      <x:c r="B12" s="18" t="str"/>
      <x:c r="C12" s="18" t="str">
        <x:v>n</x:v>
      </x:c>
      <x:c r="D12" s="18" t="str">
        <x:v>Profile-specific</x:v>
      </x:c>
    </x:row>
    <x:row r="13">
      <x:c r="A13" s="21" t="str">
        <x:v>Planned cycle duration</x:v>
      </x:c>
      <x:c r="B13" s="18" t="str"/>
      <x:c r="C13" s="18" t="str">
        <x:v>h</x:v>
      </x:c>
      <x:c r="D13" s="18" t="str">
        <x:v>Profile-specific; not universal</x:v>
      </x:c>
    </x:row>
    <x:row r="14">
      <x:c r="A14" s="21" t="str">
        <x:v>Start-up stabilization criterion</x:v>
      </x:c>
      <x:c r="B14" s="18" t="str"/>
      <x:c r="C14" s="18" t="str">
        <x:v>text</x:v>
      </x:c>
      <x:c r="D14" s="18" t="str">
        <x:v>Define before operation; e.g. allowable voltage variation over a stated window</x:v>
      </x:c>
    </x:row>
    <x:row r="15">
      <x:c r="A15" s="21" t="str">
        <x:v>Cycle-completion rule</x:v>
      </x:c>
      <x:c r="B15" s="18" t="str"/>
      <x:c r="C15" s="18" t="str">
        <x:v>text</x:v>
      </x:c>
      <x:c r="D15" s="18" t="str">
        <x:v>Time, voltage threshold, substrate depletion or treatment endpoint</x:v>
      </x:c>
    </x:row>
    <x:row r="16">
      <x:c r="A16" s="21" t="str">
        <x:v>Experiment stop rule</x:v>
      </x:c>
      <x:c r="B16" s="18" t="str"/>
      <x:c r="C16" s="18" t="str">
        <x:v>text</x:v>
      </x:c>
      <x:c r="D16" s="18" t="str">
        <x:v>Scientific and safety endpoint</x:v>
      </x:c>
    </x:row>
    <x:row r="17">
      <x:c r="A17" s="21" t="str">
        <x:v>Organism / community</x:v>
      </x:c>
      <x:c r="B17" s="18" t="str">
        <x:v>Halophilic environmental isolate</x:v>
      </x:c>
      <x:c r="C17" s="18" t="str">
        <x:v>text</x:v>
      </x:c>
      <x:c r="D17" s="18" t="str">
        <x:v>Species identity not established</x:v>
      </x:c>
    </x:row>
    <x:row r="18">
      <x:c r="A18" s="21" t="str">
        <x:v>Inoculum source</x:v>
      </x:c>
      <x:c r="B18" s="18" t="str">
        <x:v>Sambhar Lake enrichment</x:v>
      </x:c>
      <x:c r="C18" s="18" t="str">
        <x:v>text</x:v>
      </x:c>
      <x:c r="D18" s="18" t="str">
        <x:v>Record exact sample and culture batch</x:v>
      </x:c>
    </x:row>
    <x:row r="19">
      <x:c r="A19" s="21" t="str">
        <x:v>Inoculum volume</x:v>
      </x:c>
      <x:c r="B19" s="18" t="n">
        <x:v>1</x:v>
      </x:c>
      <x:c r="C19" s="18" t="str">
        <x:v>mL</x:v>
      </x:c>
      <x:c r="D19" s="18" t="str">
        <x:v>Added to 179 mL culture medium</x:v>
      </x:c>
    </x:row>
    <x:row r="20">
      <x:c r="A20" s="21" t="str">
        <x:v>Culture-medium volume</x:v>
      </x:c>
      <x:c r="B20" s="18" t="n">
        <x:v>179</x:v>
      </x:c>
      <x:c r="C20" s="18" t="str">
        <x:v>mL</x:v>
      </x:c>
      <x:c r="D20" s="18" t="str">
        <x:v>Inoculum-to-medium ratio 1:179</x:v>
      </x:c>
    </x:row>
    <x:row r="21">
      <x:c r="A21" s="21" t="str">
        <x:v>Inoculum size</x:v>
      </x:c>
      <x:c r="B21" s="18" t="n">
        <x:v>0.56</x:v>
      </x:c>
      <x:c r="C21" s="18" t="str">
        <x:v>% v/v</x:v>
      </x:c>
      <x:c r="D21" s="18" t="str">
        <x:v>1 mL in approximately 180 mL final mixture</x:v>
      </x:c>
    </x:row>
    <x:row r="22">
      <x:c r="A22" s="21" t="str">
        <x:v>Broth incubation</x:v>
      </x:c>
      <x:c r="B22" s="18" t="str">
        <x:v>48-72</x:v>
      </x:c>
      <x:c r="C22" s="18" t="str">
        <x:v>h</x:v>
      </x:c>
      <x:c r="D22" s="18" t="str">
        <x:v>Previous culture preparation record; not the MFC test duration</x:v>
      </x:c>
    </x:row>
    <x:row r="23">
      <x:c r="A23" s="21" t="str">
        <x:v>Anode working volume</x:v>
      </x:c>
      <x:c r="B23" s="18" t="n">
        <x:v>280</x:v>
      </x:c>
      <x:c r="C23" s="18" t="str">
        <x:v>mL</x:v>
      </x:c>
      <x:c r="D23" s="18" t="str">
        <x:v>Halophilic broth</x:v>
      </x:c>
    </x:row>
    <x:row r="24">
      <x:c r="A24" s="21" t="str">
        <x:v>Cathode working volume</x:v>
      </x:c>
      <x:c r="B24" s="18" t="n">
        <x:v>280</x:v>
      </x:c>
      <x:c r="C24" s="18" t="str">
        <x:v>mL</x:v>
      </x:c>
      <x:c r="D24" s="18" t="str">
        <x:v>0.6 mM KMnO4 solution</x:v>
      </x:c>
    </x:row>
    <x:row r="25">
      <x:c r="A25" s="21" t="str">
        <x:v>Catholyte</x:v>
      </x:c>
      <x:c r="B25" s="18" t="str">
        <x:v>Potassium permanganate</x:v>
      </x:c>
      <x:c r="C25" s="18" t="str">
        <x:v>KMnO4</x:v>
      </x:c>
      <x:c r="D25" s="18" t="str">
        <x:v>Do not describe as oxygen reduction</x:v>
      </x:c>
    </x:row>
    <x:row r="26">
      <x:c r="A26" s="21" t="str">
        <x:v>Catholyte concentration</x:v>
      </x:c>
      <x:c r="B26" s="18" t="n">
        <x:v>0.6</x:v>
      </x:c>
      <x:c r="C26" s="18" t="str">
        <x:v>mM</x:v>
      </x:c>
      <x:c r="D26" s="18" t="str">
        <x:v>Recorded configuration</x:v>
      </x:c>
    </x:row>
    <x:row r="27">
      <x:c r="A27" s="21" t="str">
        <x:v>Target temperature</x:v>
      </x:c>
      <x:c r="B27" s="18" t="n">
        <x:v>37</x:v>
      </x:c>
      <x:c r="C27" s="18" t="str">
        <x:v>deg C</x:v>
      </x:c>
      <x:c r="D27" s="18" t="str">
        <x:v>Culture condition; confirm reactor plan</x:v>
      </x:c>
    </x:row>
    <x:row r="28">
      <x:c r="A28" s="21" t="str">
        <x:v>Anode material</x:v>
      </x:c>
      <x:c r="B28" s="18" t="str">
        <x:v>Graphite rod</x:v>
      </x:c>
      <x:c r="C28" s="18" t="str">
        <x:v>controlled term</x:v>
      </x:c>
      <x:c r="D28" s="18" t="str">
        <x:v>Record exact immersed geometry</x:v>
      </x:c>
    </x:row>
    <x:row r="29">
      <x:c r="A29" s="21" t="str">
        <x:v>Cathode material</x:v>
      </x:c>
      <x:c r="B29" s="18" t="str">
        <x:v>Graphite rod</x:v>
      </x:c>
      <x:c r="C29" s="18" t="str">
        <x:v>controlled term</x:v>
      </x:c>
      <x:c r="D29" s="18" t="str">
        <x:v>Record exact immersed geometry</x:v>
      </x:c>
    </x:row>
    <x:row r="30">
      <x:c r="A30" s="21" t="str">
        <x:v>Exposed electrode area</x:v>
      </x:c>
      <x:c r="B30" s="18" t="str"/>
      <x:c r="C30" s="18" t="str">
        <x:v>cm2</x:v>
      </x:c>
      <x:c r="D30" s="18" t="str">
        <x:v>Required for density; do not infer from product dimensions</x:v>
      </x:c>
    </x:row>
    <x:row r="31">
      <x:c r="A31" s="21" t="str">
        <x:v>Area basis</x:v>
      </x:c>
      <x:c r="B31" s="18" t="str"/>
      <x:c r="C31" s="18" t="str">
        <x:v>anode / cathode / projected</x:v>
      </x:c>
      <x:c r="D31" s="18" t="str">
        <x:v>Required for density</x:v>
      </x:c>
    </x:row>
    <x:row r="32">
      <x:c r="A32" s="21" t="str">
        <x:v>Separator</x:v>
      </x:c>
      <x:c r="B32" s="18" t="str">
        <x:v>KNO3-agar salt bridge</x:v>
      </x:c>
      <x:c r="C32" s="18" t="str">
        <x:v>controlled term</x:v>
      </x:c>
      <x:c r="D32" s="18" t="str">
        <x:v>Record prepared composition and geometry</x:v>
      </x:c>
    </x:row>
    <x:row r="33">
      <x:c r="A33" s="21" t="str">
        <x:v>Bridge length</x:v>
      </x:c>
      <x:c r="B33" s="18" t="str"/>
      <x:c r="C33" s="18" t="str">
        <x:v>cm</x:v>
      </x:c>
      <x:c r="D33" s="18" t="str">
        <x:v>Internal ion-path length</x:v>
      </x:c>
    </x:row>
    <x:row r="34">
      <x:c r="A34" s="21" t="str">
        <x:v>Bridge internal diameter</x:v>
      </x:c>
      <x:c r="B34" s="18" t="str"/>
      <x:c r="C34" s="18" t="str">
        <x:v>cm</x:v>
      </x:c>
      <x:c r="D34" s="18" t="str">
        <x:v>Required with length and conductivity</x:v>
      </x:c>
    </x:row>
    <x:row r="35">
      <x:c r="A35" s="21" t="str">
        <x:v>Bridge conductivity</x:v>
      </x:c>
      <x:c r="B35" s="18" t="str"/>
      <x:c r="C35" s="18" t="str">
        <x:v>mS/cm</x:v>
      </x:c>
      <x:c r="D35" s="18" t="str">
        <x:v>Prepared bridge/electrolyte, not chamber conductivity</x:v>
      </x:c>
    </x:row>
    <x:row r="36">
      <x:c r="A36" s="21" t="str">
        <x:v>Operating external resistance</x:v>
      </x:c>
      <x:c r="B36" s="18" t="str"/>
      <x:c r="C36" s="18" t="str">
        <x:v>ohm</x:v>
      </x:c>
      <x:c r="D36" s="18" t="str">
        <x:v>Required for loaded-power calculation</x:v>
      </x:c>
    </x:row>
    <x:row r="37">
      <x:c r="A37" s="21" t="str">
        <x:v>Voltage meter / logger</x:v>
      </x:c>
      <x:c r="B37" s="18" t="str"/>
      <x:c r="C37" s="18" t="str">
        <x:v>text</x:v>
      </x:c>
      <x:c r="D37" s="18" t="str">
        <x:v>Include range, resolution and logging interval</x:v>
      </x:c>
    </x:row>
    <x:row r="38">
      <x:c r="A38" s="21" t="str">
        <x:v>Current meter</x:v>
      </x:c>
      <x:c r="B38" s="18" t="str"/>
      <x:c r="C38" s="18" t="str">
        <x:v>text</x:v>
      </x:c>
      <x:c r="D38" s="18" t="str">
        <x:v>Optional independent current measurement</x:v>
      </x:c>
    </x:row>
    <x:row r="39">
      <x:c r="A39" s="21" t="str">
        <x:v>COD method</x:v>
      </x:c>
      <x:c r="B39" s="18" t="str"/>
      <x:c r="C39" s="18" t="str">
        <x:v>method</x:v>
      </x:c>
      <x:c r="D39" s="18" t="str">
        <x:v>Use the same validated method for paired samples</x:v>
      </x:c>
    </x:row>
    <x:row r="40">
      <x:c r="A40" s="21" t="str">
        <x:v>Laboratory supervisor approval</x:v>
      </x:c>
      <x:c r="B40" s="18" t="str"/>
      <x:c r="C40" s="18" t="str">
        <x:v>name / date</x:v>
      </x:c>
      <x:c r="D40" s="18" t="str">
        <x:v>Approve profile, controls, replicates and stop rules</x:v>
      </x:c>
    </x:row>
  </x:sheetData>
  <x:mergeCells>
    <x:mergeCell ref="A1:D1"/>
    <x:mergeCell ref="A2:D2"/>
  </x:mergeCells>
  <x:dataValidations count="1">
    <x:dataValidation type="list" sqref="B8">
      <x:formula1>"ALI-2017-HOURLY,VIJAY-2023-4DAY,VIJAY-2018-5DAY,NASTRO-2021-DAILY,ERABLE-2011-COD24,CUSTOM-APPROVED"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23" hidden="0" customWidth="1"/>
  </x:cols>
  <x:sheetData>
    <x:row r="1" ht="34" customHeight="1">
      <x:c r="A1" s="5" t="str">
        <x:v>Measurement plan</x:v>
      </x:c>
      <x:c r="B1" s="2"/>
      <x:c r="C1" s="2"/>
      <x:c r="D1" s="2"/>
      <x:c r="E1" s="2"/>
      <x:c r="F1" s="2"/>
      <x:c r="G1" s="2"/>
    </x:row>
    <x:row r="2" ht="23" customHeight="1">
      <x:c r="A2" s="8" t="str">
        <x:v>A proposed cross-paper contract - supervisor approval required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2" t="str">
        <x:v>The rows below combine cited practices transparently. They are not presented as one published protocol.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14" t="str">
        <x:v>Phase / event</x:v>
      </x:c>
      <x:c r="B6" s="14" t="str">
        <x:v>Trigger or duration</x:v>
      </x:c>
      <x:c r="C6" s="14" t="str">
        <x:v>Electrical cadence</x:v>
      </x:c>
      <x:c r="D6" s="14" t="str">
        <x:v>Chemistry cadence</x:v>
      </x:c>
      <x:c r="E6" s="14" t="str">
        <x:v>Required fields</x:v>
      </x:c>
      <x:c r="F6" s="14" t="str">
        <x:v>Source basis</x:v>
      </x:c>
      <x:c r="G6" s="14" t="str">
        <x:v>Approval status</x:v>
      </x:c>
    </x:row>
    <x:row r="7" ht="80" customHeight="1">
      <x:c r="A7" s="18" t="str">
        <x:v>Start-up OCV</x:v>
      </x:c>
      <x:c r="B7" s="18" t="str">
        <x:v>Continue until a predeclared stabilization criterion; literature analogues observed 4 or 9 days</x:v>
      </x:c>
      <x:c r="C7" s="18" t="str">
        <x:v>Automated or hourly OCV; never mix with loaded voltage</x:v>
      </x:c>
      <x:c r="D7" s="18" t="str">
        <x:v>Temperature, pH, conductivity and salinity at least daily</x:v>
      </x:c>
      <x:c r="E7" s="18" t="str">
        <x:v>OCV, timestamp, reactor, temperature, pH, conductivity, salinity</x:v>
      </x:c>
      <x:c r="F7" s="18" t="str">
        <x:v>Vijay 2018 / Vijay 2023; hourly option from Ali 2017</x:v>
      </x:c>
      <x:c r="G7" s="18" t="str">
        <x:v>Pending</x:v>
      </x:c>
    </x:row>
    <x:row r="8" ht="80" customHeight="1">
      <x:c r="A8" s="18" t="str">
        <x:v>Load connection</x:v>
      </x:c>
      <x:c r="B8" s="18" t="str">
        <x:v>After stabilization criterion is met</x:v>
      </x:c>
      <x:c r="C8" s="18" t="str">
        <x:v>Record circuit-state change and immediate response</x:v>
      </x:c>
      <x:c r="D8" s="18" t="str">
        <x:v>Record feed/substrate condition</x:v>
      </x:c>
      <x:c r="E8" s="18" t="str">
        <x:v>Load resistance, loaded voltage, current if independently measured</x:v>
      </x:c>
      <x:c r="F8" s="18" t="str">
        <x:v>Ali 2017 / Vijay 2018 / Vijay 2023</x:v>
      </x:c>
      <x:c r="G8" s="18" t="str">
        <x:v>Pending</x:v>
      </x:c>
    </x:row>
    <x:row r="9" ht="80" customHeight="1">
      <x:c r="A9" s="18" t="str">
        <x:v>Short substrate response</x:v>
      </x:c>
      <x:c r="B9" s="18" t="str">
        <x:v>Approximately 24-49 h only when this objective is selected</x:v>
      </x:c>
      <x:c r="C9" s="18" t="str">
        <x:v>Hourly loaded voltage</x:v>
      </x:c>
      <x:c r="D9" s="18" t="str">
        <x:v>Initial/final COD; substrate identity and concentration</x:v>
      </x:c>
      <x:c r="E9" s="18" t="str">
        <x:v>Voltage, resistance, current, COD, substrate concentration</x:v>
      </x:c>
      <x:c r="F9" s="18" t="str">
        <x:v>Ali 2017</x:v>
      </x:c>
      <x:c r="G9" s="18" t="str">
        <x:v>Optional profile</x:v>
      </x:c>
    </x:row>
    <x:row r="10" ht="80" customHeight="1">
      <x:c r="A10" s="18" t="str">
        <x:v>Halophile fed-batch cycle</x:v>
      </x:c>
      <x:c r="B10" s="18" t="str">
        <x:v>Choose 4-day or 5-day profile; do not merge them</x:v>
      </x:c>
      <x:c r="C10" s="18" t="str">
        <x:v>Automated logging; identify cycle and feed events</x:v>
      </x:c>
      <x:c r="D10" s="18" t="str">
        <x:v>Daily pH, conductivity, salinity and temperature; paired COD by cycle</x:v>
      </x:c>
      <x:c r="E10" s="18" t="str">
        <x:v>Cycle_ID, event, voltage/current, chemistry, COD</x:v>
      </x:c>
      <x:c r="F10" s="18" t="str">
        <x:v>Vijay 2023 / Vijay 2018</x:v>
      </x:c>
      <x:c r="G10" s="18" t="str">
        <x:v>Recommended profile review</x:v>
      </x:c>
    </x:row>
    <x:row r="11" ht="80" customHeight="1">
      <x:c r="A11" s="18" t="str">
        <x:v>Daily condition check</x:v>
      </x:c>
      <x:c r="B11" s="18" t="str">
        <x:v>Every calendar day in a multi-day experiment</x:v>
      </x:c>
      <x:c r="C11" s="18" t="str">
        <x:v>Review logger continuity and zero/missing flags</x:v>
      </x:c>
      <x:c r="D11" s="18" t="str">
        <x:v>Temperature, pH, conductivity, salinity; add nitrate/starch if objective requires</x:v>
      </x:c>
      <x:c r="E11" s="18" t="str">
        <x:v>Instrument, timestamp, calibration/QC note</x:v>
      </x:c>
      <x:c r="F11" s="18" t="str">
        <x:v>Nastro 2021 + halophile papers</x:v>
      </x:c>
      <x:c r="G11" s="18" t="str">
        <x:v>Pending</x:v>
      </x:c>
    </x:row>
    <x:row r="12" ht="80" customHeight="1">
      <x:c r="A12" s="18" t="str">
        <x:v>Polarization</x:v>
      </x:c>
      <x:c r="B12" s="18" t="str">
        <x:v>Only during stable operation</x:v>
      </x:c>
      <x:c r="C12" s="18" t="str">
        <x:v>One row per resistance after stable potential/current</x:v>
      </x:c>
      <x:c r="D12" s="18" t="str">
        <x:v>Record conditions before and after sweep</x:v>
      </x:c>
      <x:c r="E12" s="18" t="str">
        <x:v>Resistance, loaded voltage, current, area basis, stabilization time</x:v>
      </x:c>
      <x:c r="F12" s="18" t="str">
        <x:v>Ali 2017 / Vijay 2018 / Vijay 2023</x:v>
      </x:c>
      <x:c r="G12" s="18" t="str">
        <x:v>Pending</x:v>
      </x:c>
    </x:row>
    <x:row r="13" ht="80" customHeight="1">
      <x:c r="A13" s="18" t="str">
        <x:v>Cycle/end point</x:v>
      </x:c>
      <x:c r="B13" s="18" t="str">
        <x:v>At declared cycle rule or treatment endpoint</x:v>
      </x:c>
      <x:c r="C13" s="18" t="str">
        <x:v>Record final loaded value before circuit change</x:v>
      </x:c>
      <x:c r="D13" s="18" t="str">
        <x:v>Paired final COD; nitrate/starch/amylase when applicable</x:v>
      </x:c>
      <x:c r="E13" s="18" t="str">
        <x:v>End timestamp, feed event, COD pair, notes</x:v>
      </x:c>
      <x:c r="F13" s="18" t="str">
        <x:v>Vijay papers / Erable 2011</x:v>
      </x:c>
      <x:c r="G13" s="18" t="str">
        <x:v>Pending</x:v>
      </x:c>
    </x:row>
  </x:sheetData>
  <x:mergeCells>
    <x:mergeCell ref="A1:G1"/>
    <x:mergeCell ref="A2:G2"/>
    <x:mergeCell ref="A4:G4"/>
  </x:mergeCells>
  <x:dataValidations count="1">
    <x:dataValidation type="list" sqref="G7:G13">
      <x:formula1>"Pending,Approved,Not applicable,Needs revision"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42" hidden="0" customWidth="1"/>
    <x:col min="28" max="28" width="22" hidden="0" customWidth="1"/>
  </x:cols>
  <x:sheetData>
    <x:row r="1" ht="34" customHeight="1">
      <x:c r="A1" s="5" t="str">
        <x:v>Raw measurements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3" customHeight="1">
      <x:c r="A2" s="8" t="str">
        <x:v>One timestamped observation per row - no fixed duration or synthetic schedule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2" t="str">
        <x:v>White cells are editable. Identify the protocol, reactor, cycle, phase, event and circuit state for every observation.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A6" s="14" t="str">
        <x:v>Measurement_ID</x:v>
      </x:c>
      <x:c r="B6" s="14" t="str">
        <x:v>Protocol_ID</x:v>
      </x:c>
      <x:c r="C6" s="14" t="str">
        <x:v>Reactor_ID</x:v>
      </x:c>
      <x:c r="D6" s="14" t="str">
        <x:v>Replicate</x:v>
      </x:c>
      <x:c r="E6" s="14" t="str">
        <x:v>Cycle_ID</x:v>
      </x:c>
      <x:c r="F6" s="14" t="str">
        <x:v>Phase</x:v>
      </x:c>
      <x:c r="G6" s="14" t="str">
        <x:v>Elapsed_h</x:v>
      </x:c>
      <x:c r="H6" s="14" t="str">
        <x:v>Timestamp</x:v>
      </x:c>
      <x:c r="I6" s="14" t="str">
        <x:v>Event</x:v>
      </x:c>
      <x:c r="J6" s="14" t="str">
        <x:v>Circuit_state</x:v>
      </x:c>
      <x:c r="K6" s="14" t="str">
        <x:v>Loaded_voltage_mV</x:v>
      </x:c>
      <x:c r="L6" s="14" t="str">
        <x:v>Open_circuit_voltage_mV</x:v>
      </x:c>
      <x:c r="M6" s="14" t="str">
        <x:v>External_resistance_ohm</x:v>
      </x:c>
      <x:c r="N6" s="14" t="str">
        <x:v>Measured_current_mA</x:v>
      </x:c>
      <x:c r="O6" s="14" t="str">
        <x:v>Anode_potential_mV</x:v>
      </x:c>
      <x:c r="P6" s="14" t="str">
        <x:v>Cathode_potential_mV</x:v>
      </x:c>
      <x:c r="Q6" s="14" t="str">
        <x:v>Temperature_C</x:v>
      </x:c>
      <x:c r="R6" s="14" t="str">
        <x:v>Anode_pH</x:v>
      </x:c>
      <x:c r="S6" s="14" t="str">
        <x:v>Cathode_pH</x:v>
      </x:c>
      <x:c r="T6" s="14" t="str">
        <x:v>Conductivity_mS_cm</x:v>
      </x:c>
      <x:c r="U6" s="14" t="str">
        <x:v>Salinity_g_L</x:v>
      </x:c>
      <x:c r="V6" s="14" t="str">
        <x:v>TDS_mg_L</x:v>
      </x:c>
      <x:c r="W6" s="14" t="str">
        <x:v>Substrate_concentration_g_L</x:v>
      </x:c>
      <x:c r="X6" s="14" t="str">
        <x:v>Initial_COD_mg_L</x:v>
      </x:c>
      <x:c r="Y6" s="14" t="str">
        <x:v>Final_COD_mg_L</x:v>
      </x:c>
      <x:c r="Z6" s="14" t="str">
        <x:v>Nitrate_N_mg_L</x:v>
      </x:c>
      <x:c r="AA6" s="14" t="str">
        <x:v>Notes</x:v>
      </x:c>
      <x:c r="AB6" s="14" t="str">
        <x:v>Data_flag</x:v>
      </x:c>
    </x:row>
    <x:row r="7">
      <x:c r="A7" s="27"/>
      <x:c r="B7" s="27"/>
      <x:c r="C7" s="27"/>
      <x:c r="D7" s="27"/>
      <x:c r="E7" s="27"/>
      <x:c r="F7" s="27"/>
      <x:c r="G7" s="28"/>
      <x:c r="H7" s="29"/>
      <x:c r="I7" s="27"/>
      <x:c r="J7" s="27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27"/>
      <x:c r="AB7" s="27"/>
    </x:row>
    <x:row r="8">
      <x:c r="A8" s="31"/>
      <x:c r="B8" s="31"/>
      <x:c r="C8" s="31"/>
      <x:c r="D8" s="31"/>
      <x:c r="E8" s="31"/>
      <x:c r="F8" s="31"/>
      <x:c r="G8" s="32"/>
      <x:c r="H8" s="33"/>
      <x:c r="I8" s="31"/>
      <x:c r="J8" s="31"/>
      <x:c r="K8" s="34"/>
      <x:c r="L8" s="34"/>
      <x:c r="M8" s="34"/>
      <x:c r="N8" s="34"/>
      <x:c r="O8" s="34"/>
      <x:c r="P8" s="34"/>
      <x:c r="Q8" s="34"/>
      <x:c r="R8" s="34"/>
      <x:c r="S8" s="34"/>
      <x:c r="T8" s="34"/>
      <x:c r="U8" s="34"/>
      <x:c r="V8" s="34"/>
      <x:c r="W8" s="34"/>
      <x:c r="X8" s="34"/>
      <x:c r="Y8" s="34"/>
      <x:c r="Z8" s="34"/>
      <x:c r="AA8" s="31"/>
      <x:c r="AB8" s="31"/>
    </x:row>
    <x:row r="9">
      <x:c r="A9" s="31"/>
      <x:c r="B9" s="31"/>
      <x:c r="C9" s="31"/>
      <x:c r="D9" s="31"/>
      <x:c r="E9" s="31"/>
      <x:c r="F9" s="31"/>
      <x:c r="G9" s="32"/>
      <x:c r="H9" s="33"/>
      <x:c r="I9" s="31"/>
      <x:c r="J9" s="31"/>
      <x:c r="K9" s="34"/>
      <x:c r="L9" s="34"/>
      <x:c r="M9" s="34"/>
      <x:c r="N9" s="34"/>
      <x:c r="O9" s="34"/>
      <x:c r="P9" s="34"/>
      <x:c r="Q9" s="34"/>
      <x:c r="R9" s="34"/>
      <x:c r="S9" s="34"/>
      <x:c r="T9" s="34"/>
      <x:c r="U9" s="34"/>
      <x:c r="V9" s="34"/>
      <x:c r="W9" s="34"/>
      <x:c r="X9" s="34"/>
      <x:c r="Y9" s="34"/>
      <x:c r="Z9" s="34"/>
      <x:c r="AA9" s="31"/>
      <x:c r="AB9" s="31"/>
    </x:row>
    <x:row r="10">
      <x:c r="A10" s="31"/>
      <x:c r="B10" s="31"/>
      <x:c r="C10" s="31"/>
      <x:c r="D10" s="31"/>
      <x:c r="E10" s="31"/>
      <x:c r="F10" s="31"/>
      <x:c r="G10" s="32"/>
      <x:c r="H10" s="33"/>
      <x:c r="I10" s="31"/>
      <x:c r="J10" s="31"/>
      <x:c r="K10" s="34"/>
      <x:c r="L10" s="34"/>
      <x:c r="M10" s="34"/>
      <x:c r="N10" s="34"/>
      <x:c r="O10" s="34"/>
      <x:c r="P10" s="34"/>
      <x:c r="Q10" s="34"/>
      <x:c r="R10" s="34"/>
      <x:c r="S10" s="34"/>
      <x:c r="T10" s="34"/>
      <x:c r="U10" s="34"/>
      <x:c r="V10" s="34"/>
      <x:c r="W10" s="34"/>
      <x:c r="X10" s="34"/>
      <x:c r="Y10" s="34"/>
      <x:c r="Z10" s="34"/>
      <x:c r="AA10" s="31"/>
      <x:c r="AB10" s="31"/>
    </x:row>
    <x:row r="11">
      <x:c r="A11" s="31"/>
      <x:c r="B11" s="31"/>
      <x:c r="C11" s="31"/>
      <x:c r="D11" s="31"/>
      <x:c r="E11" s="31"/>
      <x:c r="F11" s="31"/>
      <x:c r="G11" s="32"/>
      <x:c r="H11" s="33"/>
      <x:c r="I11" s="31"/>
      <x:c r="J11" s="31"/>
      <x:c r="K11" s="34"/>
      <x:c r="L11" s="34"/>
      <x:c r="M11" s="34"/>
      <x:c r="N11" s="34"/>
      <x:c r="O11" s="34"/>
      <x:c r="P11" s="34"/>
      <x:c r="Q11" s="34"/>
      <x:c r="R11" s="34"/>
      <x:c r="S11" s="34"/>
      <x:c r="T11" s="34"/>
      <x:c r="U11" s="34"/>
      <x:c r="V11" s="34"/>
      <x:c r="W11" s="34"/>
      <x:c r="X11" s="34"/>
      <x:c r="Y11" s="34"/>
      <x:c r="Z11" s="34"/>
      <x:c r="AA11" s="31"/>
      <x:c r="AB11" s="31"/>
    </x:row>
    <x:row r="12">
      <x:c r="A12" s="31"/>
      <x:c r="B12" s="31"/>
      <x:c r="C12" s="31"/>
      <x:c r="D12" s="31"/>
      <x:c r="E12" s="31"/>
      <x:c r="F12" s="31"/>
      <x:c r="G12" s="32"/>
      <x:c r="H12" s="33"/>
      <x:c r="I12" s="31"/>
      <x:c r="J12" s="31"/>
      <x:c r="K12" s="34"/>
      <x:c r="L12" s="34"/>
      <x:c r="M12" s="34"/>
      <x:c r="N12" s="34"/>
      <x:c r="O12" s="34"/>
      <x:c r="P12" s="34"/>
      <x:c r="Q12" s="34"/>
      <x:c r="R12" s="34"/>
      <x:c r="S12" s="34"/>
      <x:c r="T12" s="34"/>
      <x:c r="U12" s="34"/>
      <x:c r="V12" s="34"/>
      <x:c r="W12" s="34"/>
      <x:c r="X12" s="34"/>
      <x:c r="Y12" s="34"/>
      <x:c r="Z12" s="34"/>
      <x:c r="AA12" s="31"/>
      <x:c r="AB12" s="31"/>
    </x:row>
    <x:row r="13">
      <x:c r="A13" s="31"/>
      <x:c r="B13" s="31"/>
      <x:c r="C13" s="31"/>
      <x:c r="D13" s="31"/>
      <x:c r="E13" s="31"/>
      <x:c r="F13" s="31"/>
      <x:c r="G13" s="32"/>
      <x:c r="H13" s="33"/>
      <x:c r="I13" s="31"/>
      <x:c r="J13" s="31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1"/>
      <x:c r="AB13" s="31"/>
    </x:row>
    <x:row r="14">
      <x:c r="A14" s="31"/>
      <x:c r="B14" s="31"/>
      <x:c r="C14" s="31"/>
      <x:c r="D14" s="31"/>
      <x:c r="E14" s="31"/>
      <x:c r="F14" s="31"/>
      <x:c r="G14" s="32"/>
      <x:c r="H14" s="33"/>
      <x:c r="I14" s="31"/>
      <x:c r="J14" s="31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1"/>
      <x:c r="AB14" s="31"/>
    </x:row>
    <x:row r="15">
      <x:c r="A15" s="31"/>
      <x:c r="B15" s="31"/>
      <x:c r="C15" s="31"/>
      <x:c r="D15" s="31"/>
      <x:c r="E15" s="31"/>
      <x:c r="F15" s="31"/>
      <x:c r="G15" s="32"/>
      <x:c r="H15" s="33"/>
      <x:c r="I15" s="31"/>
      <x:c r="J15" s="31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1"/>
      <x:c r="AB15" s="31"/>
    </x:row>
    <x:row r="16">
      <x:c r="A16" s="31"/>
      <x:c r="B16" s="31"/>
      <x:c r="C16" s="31"/>
      <x:c r="D16" s="31"/>
      <x:c r="E16" s="31"/>
      <x:c r="F16" s="31"/>
      <x:c r="G16" s="32"/>
      <x:c r="H16" s="33"/>
      <x:c r="I16" s="31"/>
      <x:c r="J16" s="31"/>
      <x:c r="K16" s="34"/>
      <x:c r="L16" s="34"/>
      <x:c r="M16" s="34"/>
      <x:c r="N16" s="34"/>
      <x:c r="O16" s="34"/>
      <x:c r="P16" s="34"/>
      <x:c r="Q16" s="34"/>
      <x:c r="R16" s="34"/>
      <x:c r="S16" s="34"/>
      <x:c r="T16" s="34"/>
      <x:c r="U16" s="34"/>
      <x:c r="V16" s="34"/>
      <x:c r="W16" s="34"/>
      <x:c r="X16" s="34"/>
      <x:c r="Y16" s="34"/>
      <x:c r="Z16" s="34"/>
      <x:c r="AA16" s="31"/>
      <x:c r="AB16" s="31"/>
    </x:row>
    <x:row r="17">
      <x:c r="A17" s="31"/>
      <x:c r="B17" s="31"/>
      <x:c r="C17" s="31"/>
      <x:c r="D17" s="31"/>
      <x:c r="E17" s="31"/>
      <x:c r="F17" s="31"/>
      <x:c r="G17" s="32"/>
      <x:c r="H17" s="33"/>
      <x:c r="I17" s="31"/>
      <x:c r="J17" s="31"/>
      <x:c r="K17" s="34"/>
      <x:c r="L17" s="34"/>
      <x:c r="M17" s="34"/>
      <x:c r="N17" s="34"/>
      <x:c r="O17" s="34"/>
      <x:c r="P17" s="34"/>
      <x:c r="Q17" s="34"/>
      <x:c r="R17" s="34"/>
      <x:c r="S17" s="34"/>
      <x:c r="T17" s="34"/>
      <x:c r="U17" s="34"/>
      <x:c r="V17" s="34"/>
      <x:c r="W17" s="34"/>
      <x:c r="X17" s="34"/>
      <x:c r="Y17" s="34"/>
      <x:c r="Z17" s="34"/>
      <x:c r="AA17" s="31"/>
      <x:c r="AB17" s="31"/>
    </x:row>
    <x:row r="18">
      <x:c r="A18" s="31"/>
      <x:c r="B18" s="31"/>
      <x:c r="C18" s="31"/>
      <x:c r="D18" s="31"/>
      <x:c r="E18" s="31"/>
      <x:c r="F18" s="31"/>
      <x:c r="G18" s="32"/>
      <x:c r="H18" s="33"/>
      <x:c r="I18" s="31"/>
      <x:c r="J18" s="31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1"/>
      <x:c r="AB18" s="31"/>
    </x:row>
    <x:row r="19">
      <x:c r="A19" s="31"/>
      <x:c r="B19" s="31"/>
      <x:c r="C19" s="31"/>
      <x:c r="D19" s="31"/>
      <x:c r="E19" s="31"/>
      <x:c r="F19" s="31"/>
      <x:c r="G19" s="32"/>
      <x:c r="H19" s="33"/>
      <x:c r="I19" s="31"/>
      <x:c r="J19" s="31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1"/>
      <x:c r="AB19" s="31"/>
    </x:row>
    <x:row r="20">
      <x:c r="A20" s="31"/>
      <x:c r="B20" s="31"/>
      <x:c r="C20" s="31"/>
      <x:c r="D20" s="31"/>
      <x:c r="E20" s="31"/>
      <x:c r="F20" s="31"/>
      <x:c r="G20" s="32"/>
      <x:c r="H20" s="33"/>
      <x:c r="I20" s="31"/>
      <x:c r="J20" s="31"/>
      <x:c r="K20" s="34"/>
      <x:c r="L20" s="34"/>
      <x:c r="M20" s="34"/>
      <x:c r="N20" s="34"/>
      <x:c r="O20" s="34"/>
      <x:c r="P20" s="34"/>
      <x:c r="Q20" s="34"/>
      <x:c r="R20" s="34"/>
      <x:c r="S20" s="34"/>
      <x:c r="T20" s="34"/>
      <x:c r="U20" s="34"/>
      <x:c r="V20" s="34"/>
      <x:c r="W20" s="34"/>
      <x:c r="X20" s="34"/>
      <x:c r="Y20" s="34"/>
      <x:c r="Z20" s="34"/>
      <x:c r="AA20" s="31"/>
      <x:c r="AB20" s="31"/>
    </x:row>
    <x:row r="21">
      <x:c r="A21" s="31"/>
      <x:c r="B21" s="31"/>
      <x:c r="C21" s="31"/>
      <x:c r="D21" s="31"/>
      <x:c r="E21" s="31"/>
      <x:c r="F21" s="31"/>
      <x:c r="G21" s="32"/>
      <x:c r="H21" s="33"/>
      <x:c r="I21" s="31"/>
      <x:c r="J21" s="31"/>
      <x:c r="K21" s="34"/>
      <x:c r="L21" s="34"/>
      <x:c r="M21" s="34"/>
      <x:c r="N21" s="34"/>
      <x:c r="O21" s="34"/>
      <x:c r="P21" s="34"/>
      <x:c r="Q21" s="34"/>
      <x:c r="R21" s="34"/>
      <x:c r="S21" s="34"/>
      <x:c r="T21" s="34"/>
      <x:c r="U21" s="34"/>
      <x:c r="V21" s="34"/>
      <x:c r="W21" s="34"/>
      <x:c r="X21" s="34"/>
      <x:c r="Y21" s="34"/>
      <x:c r="Z21" s="34"/>
      <x:c r="AA21" s="31"/>
      <x:c r="AB21" s="31"/>
    </x:row>
    <x:row r="22">
      <x:c r="A22" s="31"/>
      <x:c r="B22" s="31"/>
      <x:c r="C22" s="31"/>
      <x:c r="D22" s="31"/>
      <x:c r="E22" s="31"/>
      <x:c r="F22" s="31"/>
      <x:c r="G22" s="32"/>
      <x:c r="H22" s="33"/>
      <x:c r="I22" s="31"/>
      <x:c r="J22" s="31"/>
      <x:c r="K22" s="34"/>
      <x:c r="L22" s="34"/>
      <x:c r="M22" s="34"/>
      <x:c r="N22" s="34"/>
      <x:c r="O22" s="34"/>
      <x:c r="P22" s="34"/>
      <x:c r="Q22" s="34"/>
      <x:c r="R22" s="34"/>
      <x:c r="S22" s="34"/>
      <x:c r="T22" s="34"/>
      <x:c r="U22" s="34"/>
      <x:c r="V22" s="34"/>
      <x:c r="W22" s="34"/>
      <x:c r="X22" s="34"/>
      <x:c r="Y22" s="34"/>
      <x:c r="Z22" s="34"/>
      <x:c r="AA22" s="31"/>
      <x:c r="AB22" s="31"/>
    </x:row>
    <x:row r="23">
      <x:c r="A23" s="31"/>
      <x:c r="B23" s="31"/>
      <x:c r="C23" s="31"/>
      <x:c r="D23" s="31"/>
      <x:c r="E23" s="31"/>
      <x:c r="F23" s="31"/>
      <x:c r="G23" s="32"/>
      <x:c r="H23" s="33"/>
      <x:c r="I23" s="31"/>
      <x:c r="J23" s="31"/>
      <x:c r="K23" s="34"/>
      <x:c r="L23" s="34"/>
      <x:c r="M23" s="34"/>
      <x:c r="N23" s="34"/>
      <x:c r="O23" s="34"/>
      <x:c r="P23" s="34"/>
      <x:c r="Q23" s="34"/>
      <x:c r="R23" s="34"/>
      <x:c r="S23" s="34"/>
      <x:c r="T23" s="34"/>
      <x:c r="U23" s="34"/>
      <x:c r="V23" s="34"/>
      <x:c r="W23" s="34"/>
      <x:c r="X23" s="34"/>
      <x:c r="Y23" s="34"/>
      <x:c r="Z23" s="34"/>
      <x:c r="AA23" s="31"/>
      <x:c r="AB23" s="31"/>
    </x:row>
    <x:row r="24">
      <x:c r="A24" s="31"/>
      <x:c r="B24" s="31"/>
      <x:c r="C24" s="31"/>
      <x:c r="D24" s="31"/>
      <x:c r="E24" s="31"/>
      <x:c r="F24" s="31"/>
      <x:c r="G24" s="32"/>
      <x:c r="H24" s="33"/>
      <x:c r="I24" s="31"/>
      <x:c r="J24" s="31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/>
      <x:c r="U24" s="34"/>
      <x:c r="V24" s="34"/>
      <x:c r="W24" s="34"/>
      <x:c r="X24" s="34"/>
      <x:c r="Y24" s="34"/>
      <x:c r="Z24" s="34"/>
      <x:c r="AA24" s="31"/>
      <x:c r="AB24" s="31"/>
    </x:row>
    <x:row r="25">
      <x:c r="A25" s="31"/>
      <x:c r="B25" s="31"/>
      <x:c r="C25" s="31"/>
      <x:c r="D25" s="31"/>
      <x:c r="E25" s="31"/>
      <x:c r="F25" s="31"/>
      <x:c r="G25" s="32"/>
      <x:c r="H25" s="33"/>
      <x:c r="I25" s="31"/>
      <x:c r="J25" s="31"/>
      <x:c r="K25" s="34"/>
      <x:c r="L25" s="34"/>
      <x:c r="M25" s="34"/>
      <x:c r="N25" s="34"/>
      <x:c r="O25" s="34"/>
      <x:c r="P25" s="34"/>
      <x:c r="Q25" s="34"/>
      <x:c r="R25" s="34"/>
      <x:c r="S25" s="34"/>
      <x:c r="T25" s="34"/>
      <x:c r="U25" s="34"/>
      <x:c r="V25" s="34"/>
      <x:c r="W25" s="34"/>
      <x:c r="X25" s="34"/>
      <x:c r="Y25" s="34"/>
      <x:c r="Z25" s="34"/>
      <x:c r="AA25" s="31"/>
      <x:c r="AB25" s="31"/>
    </x:row>
    <x:row r="26">
      <x:c r="A26" s="31"/>
      <x:c r="B26" s="31"/>
      <x:c r="C26" s="31"/>
      <x:c r="D26" s="31"/>
      <x:c r="E26" s="31"/>
      <x:c r="F26" s="31"/>
      <x:c r="G26" s="32"/>
      <x:c r="H26" s="33"/>
      <x:c r="I26" s="31"/>
      <x:c r="J26" s="31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1"/>
      <x:c r="AB26" s="31"/>
    </x:row>
    <x:row r="27">
      <x:c r="A27" s="31"/>
      <x:c r="B27" s="31"/>
      <x:c r="C27" s="31"/>
      <x:c r="D27" s="31"/>
      <x:c r="E27" s="31"/>
      <x:c r="F27" s="31"/>
      <x:c r="G27" s="32"/>
      <x:c r="H27" s="33"/>
      <x:c r="I27" s="31"/>
      <x:c r="J27" s="31"/>
      <x:c r="K27" s="34"/>
      <x:c r="L27" s="34"/>
      <x:c r="M27" s="34"/>
      <x:c r="N27" s="34"/>
      <x:c r="O27" s="34"/>
      <x:c r="P27" s="34"/>
      <x:c r="Q27" s="34"/>
      <x:c r="R27" s="34"/>
      <x:c r="S27" s="34"/>
      <x:c r="T27" s="34"/>
      <x:c r="U27" s="34"/>
      <x:c r="V27" s="34"/>
      <x:c r="W27" s="34"/>
      <x:c r="X27" s="34"/>
      <x:c r="Y27" s="34"/>
      <x:c r="Z27" s="34"/>
      <x:c r="AA27" s="31"/>
      <x:c r="AB27" s="31"/>
    </x:row>
    <x:row r="28">
      <x:c r="A28" s="31"/>
      <x:c r="B28" s="31"/>
      <x:c r="C28" s="31"/>
      <x:c r="D28" s="31"/>
      <x:c r="E28" s="31"/>
      <x:c r="F28" s="31"/>
      <x:c r="G28" s="32"/>
      <x:c r="H28" s="33"/>
      <x:c r="I28" s="31"/>
      <x:c r="J28" s="31"/>
      <x:c r="K28" s="34"/>
      <x:c r="L28" s="34"/>
      <x:c r="M28" s="34"/>
      <x:c r="N28" s="34"/>
      <x:c r="O28" s="34"/>
      <x:c r="P28" s="34"/>
      <x:c r="Q28" s="34"/>
      <x:c r="R28" s="34"/>
      <x:c r="S28" s="34"/>
      <x:c r="T28" s="34"/>
      <x:c r="U28" s="34"/>
      <x:c r="V28" s="34"/>
      <x:c r="W28" s="34"/>
      <x:c r="X28" s="34"/>
      <x:c r="Y28" s="34"/>
      <x:c r="Z28" s="34"/>
      <x:c r="AA28" s="31"/>
      <x:c r="AB28" s="31"/>
    </x:row>
    <x:row r="29">
      <x:c r="A29" s="31"/>
      <x:c r="B29" s="31"/>
      <x:c r="C29" s="31"/>
      <x:c r="D29" s="31"/>
      <x:c r="E29" s="31"/>
      <x:c r="F29" s="31"/>
      <x:c r="G29" s="32"/>
      <x:c r="H29" s="33"/>
      <x:c r="I29" s="31"/>
      <x:c r="J29" s="31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/>
      <x:c r="AA29" s="31"/>
      <x:c r="AB29" s="31"/>
    </x:row>
    <x:row r="30">
      <x:c r="A30" s="31"/>
      <x:c r="B30" s="31"/>
      <x:c r="C30" s="31"/>
      <x:c r="D30" s="31"/>
      <x:c r="E30" s="31"/>
      <x:c r="F30" s="31"/>
      <x:c r="G30" s="32"/>
      <x:c r="H30" s="33"/>
      <x:c r="I30" s="31"/>
      <x:c r="J30" s="31"/>
      <x:c r="K30" s="34"/>
      <x:c r="L30" s="34"/>
      <x:c r="M30" s="34"/>
      <x:c r="N30" s="34"/>
      <x:c r="O30" s="34"/>
      <x:c r="P30" s="34"/>
      <x:c r="Q30" s="34"/>
      <x:c r="R30" s="34"/>
      <x:c r="S30" s="34"/>
      <x:c r="T30" s="34"/>
      <x:c r="U30" s="34"/>
      <x:c r="V30" s="34"/>
      <x:c r="W30" s="34"/>
      <x:c r="X30" s="34"/>
      <x:c r="Y30" s="34"/>
      <x:c r="Z30" s="34"/>
      <x:c r="AA30" s="31"/>
      <x:c r="AB30" s="31"/>
    </x:row>
    <x:row r="31">
      <x:c r="A31" s="31"/>
      <x:c r="B31" s="31"/>
      <x:c r="C31" s="31"/>
      <x:c r="D31" s="31"/>
      <x:c r="E31" s="31"/>
      <x:c r="F31" s="31"/>
      <x:c r="G31" s="32"/>
      <x:c r="H31" s="33"/>
      <x:c r="I31" s="31"/>
      <x:c r="J31" s="31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1"/>
      <x:c r="AB31" s="31"/>
    </x:row>
    <x:row r="32">
      <x:c r="A32" s="31"/>
      <x:c r="B32" s="31"/>
      <x:c r="C32" s="31"/>
      <x:c r="D32" s="31"/>
      <x:c r="E32" s="31"/>
      <x:c r="F32" s="31"/>
      <x:c r="G32" s="32"/>
      <x:c r="H32" s="33"/>
      <x:c r="I32" s="31"/>
      <x:c r="J32" s="31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1"/>
      <x:c r="AB32" s="31"/>
    </x:row>
    <x:row r="33">
      <x:c r="A33" s="31"/>
      <x:c r="B33" s="31"/>
      <x:c r="C33" s="31"/>
      <x:c r="D33" s="31"/>
      <x:c r="E33" s="31"/>
      <x:c r="F33" s="31"/>
      <x:c r="G33" s="32"/>
      <x:c r="H33" s="33"/>
      <x:c r="I33" s="31"/>
      <x:c r="J33" s="31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1"/>
      <x:c r="AB33" s="31"/>
    </x:row>
    <x:row r="34">
      <x:c r="A34" s="31"/>
      <x:c r="B34" s="31"/>
      <x:c r="C34" s="31"/>
      <x:c r="D34" s="31"/>
      <x:c r="E34" s="31"/>
      <x:c r="F34" s="31"/>
      <x:c r="G34" s="32"/>
      <x:c r="H34" s="33"/>
      <x:c r="I34" s="31"/>
      <x:c r="J34" s="31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1"/>
      <x:c r="AB34" s="31"/>
    </x:row>
    <x:row r="35">
      <x:c r="A35" s="31"/>
      <x:c r="B35" s="31"/>
      <x:c r="C35" s="31"/>
      <x:c r="D35" s="31"/>
      <x:c r="E35" s="31"/>
      <x:c r="F35" s="31"/>
      <x:c r="G35" s="32"/>
      <x:c r="H35" s="33"/>
      <x:c r="I35" s="31"/>
      <x:c r="J35" s="31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1"/>
      <x:c r="AB35" s="31"/>
    </x:row>
    <x:row r="36">
      <x:c r="A36" s="31"/>
      <x:c r="B36" s="31"/>
      <x:c r="C36" s="31"/>
      <x:c r="D36" s="31"/>
      <x:c r="E36" s="31"/>
      <x:c r="F36" s="31"/>
      <x:c r="G36" s="32"/>
      <x:c r="H36" s="33"/>
      <x:c r="I36" s="31"/>
      <x:c r="J36" s="31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1"/>
      <x:c r="AB36" s="31"/>
    </x:row>
    <x:row r="37">
      <x:c r="A37" s="31"/>
      <x:c r="B37" s="31"/>
      <x:c r="C37" s="31"/>
      <x:c r="D37" s="31"/>
      <x:c r="E37" s="31"/>
      <x:c r="F37" s="31"/>
      <x:c r="G37" s="32"/>
      <x:c r="H37" s="33"/>
      <x:c r="I37" s="31"/>
      <x:c r="J37" s="31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1"/>
      <x:c r="AB37" s="31"/>
    </x:row>
    <x:row r="38">
      <x:c r="A38" s="31"/>
      <x:c r="B38" s="31"/>
      <x:c r="C38" s="31"/>
      <x:c r="D38" s="31"/>
      <x:c r="E38" s="31"/>
      <x:c r="F38" s="31"/>
      <x:c r="G38" s="32"/>
      <x:c r="H38" s="33"/>
      <x:c r="I38" s="31"/>
      <x:c r="J38" s="31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1"/>
      <x:c r="AB38" s="31"/>
    </x:row>
    <x:row r="39">
      <x:c r="A39" s="31"/>
      <x:c r="B39" s="31"/>
      <x:c r="C39" s="31"/>
      <x:c r="D39" s="31"/>
      <x:c r="E39" s="31"/>
      <x:c r="F39" s="31"/>
      <x:c r="G39" s="32"/>
      <x:c r="H39" s="33"/>
      <x:c r="I39" s="31"/>
      <x:c r="J39" s="31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1"/>
      <x:c r="AB39" s="31"/>
    </x:row>
    <x:row r="40">
      <x:c r="A40" s="31"/>
      <x:c r="B40" s="31"/>
      <x:c r="C40" s="31"/>
      <x:c r="D40" s="31"/>
      <x:c r="E40" s="31"/>
      <x:c r="F40" s="31"/>
      <x:c r="G40" s="32"/>
      <x:c r="H40" s="33"/>
      <x:c r="I40" s="31"/>
      <x:c r="J40" s="31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1"/>
      <x:c r="AB40" s="31"/>
    </x:row>
    <x:row r="41">
      <x:c r="A41" s="31"/>
      <x:c r="B41" s="31"/>
      <x:c r="C41" s="31"/>
      <x:c r="D41" s="31"/>
      <x:c r="E41" s="31"/>
      <x:c r="F41" s="31"/>
      <x:c r="G41" s="32"/>
      <x:c r="H41" s="33"/>
      <x:c r="I41" s="31"/>
      <x:c r="J41" s="31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1"/>
      <x:c r="AB41" s="31"/>
    </x:row>
    <x:row r="42">
      <x:c r="A42" s="31"/>
      <x:c r="B42" s="31"/>
      <x:c r="C42" s="31"/>
      <x:c r="D42" s="31"/>
      <x:c r="E42" s="31"/>
      <x:c r="F42" s="31"/>
      <x:c r="G42" s="32"/>
      <x:c r="H42" s="33"/>
      <x:c r="I42" s="31"/>
      <x:c r="J42" s="31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1"/>
      <x:c r="AB42" s="31"/>
    </x:row>
    <x:row r="43">
      <x:c r="A43" s="31"/>
      <x:c r="B43" s="31"/>
      <x:c r="C43" s="31"/>
      <x:c r="D43" s="31"/>
      <x:c r="E43" s="31"/>
      <x:c r="F43" s="31"/>
      <x:c r="G43" s="32"/>
      <x:c r="H43" s="33"/>
      <x:c r="I43" s="31"/>
      <x:c r="J43" s="31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1"/>
      <x:c r="AB43" s="31"/>
    </x:row>
    <x:row r="44">
      <x:c r="A44" s="31"/>
      <x:c r="B44" s="31"/>
      <x:c r="C44" s="31"/>
      <x:c r="D44" s="31"/>
      <x:c r="E44" s="31"/>
      <x:c r="F44" s="31"/>
      <x:c r="G44" s="32"/>
      <x:c r="H44" s="33"/>
      <x:c r="I44" s="31"/>
      <x:c r="J44" s="31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1"/>
      <x:c r="AB44" s="31"/>
    </x:row>
    <x:row r="45">
      <x:c r="A45" s="31"/>
      <x:c r="B45" s="31"/>
      <x:c r="C45" s="31"/>
      <x:c r="D45" s="31"/>
      <x:c r="E45" s="31"/>
      <x:c r="F45" s="31"/>
      <x:c r="G45" s="32"/>
      <x:c r="H45" s="33"/>
      <x:c r="I45" s="31"/>
      <x:c r="J45" s="31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1"/>
      <x:c r="AB45" s="31"/>
    </x:row>
    <x:row r="46">
      <x:c r="A46" s="31"/>
      <x:c r="B46" s="31"/>
      <x:c r="C46" s="31"/>
      <x:c r="D46" s="31"/>
      <x:c r="E46" s="31"/>
      <x:c r="F46" s="31"/>
      <x:c r="G46" s="32"/>
      <x:c r="H46" s="33"/>
      <x:c r="I46" s="31"/>
      <x:c r="J46" s="31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1"/>
      <x:c r="AB46" s="31"/>
    </x:row>
    <x:row r="47">
      <x:c r="A47" s="31"/>
      <x:c r="B47" s="31"/>
      <x:c r="C47" s="31"/>
      <x:c r="D47" s="31"/>
      <x:c r="E47" s="31"/>
      <x:c r="F47" s="31"/>
      <x:c r="G47" s="32"/>
      <x:c r="H47" s="33"/>
      <x:c r="I47" s="31"/>
      <x:c r="J47" s="31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1"/>
      <x:c r="AB47" s="31"/>
    </x:row>
    <x:row r="48">
      <x:c r="A48" s="31"/>
      <x:c r="B48" s="31"/>
      <x:c r="C48" s="31"/>
      <x:c r="D48" s="31"/>
      <x:c r="E48" s="31"/>
      <x:c r="F48" s="31"/>
      <x:c r="G48" s="32"/>
      <x:c r="H48" s="33"/>
      <x:c r="I48" s="31"/>
      <x:c r="J48" s="31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1"/>
      <x:c r="AB48" s="31"/>
    </x:row>
    <x:row r="49">
      <x:c r="A49" s="31"/>
      <x:c r="B49" s="31"/>
      <x:c r="C49" s="31"/>
      <x:c r="D49" s="31"/>
      <x:c r="E49" s="31"/>
      <x:c r="F49" s="31"/>
      <x:c r="G49" s="32"/>
      <x:c r="H49" s="33"/>
      <x:c r="I49" s="31"/>
      <x:c r="J49" s="31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1"/>
      <x:c r="AB49" s="31"/>
    </x:row>
    <x:row r="50">
      <x:c r="A50" s="31"/>
      <x:c r="B50" s="31"/>
      <x:c r="C50" s="31"/>
      <x:c r="D50" s="31"/>
      <x:c r="E50" s="31"/>
      <x:c r="F50" s="31"/>
      <x:c r="G50" s="32"/>
      <x:c r="H50" s="33"/>
      <x:c r="I50" s="31"/>
      <x:c r="J50" s="31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1"/>
      <x:c r="AB50" s="31"/>
    </x:row>
    <x:row r="51">
      <x:c r="A51" s="31"/>
      <x:c r="B51" s="31"/>
      <x:c r="C51" s="31"/>
      <x:c r="D51" s="31"/>
      <x:c r="E51" s="31"/>
      <x:c r="F51" s="31"/>
      <x:c r="G51" s="32"/>
      <x:c r="H51" s="33"/>
      <x:c r="I51" s="31"/>
      <x:c r="J51" s="31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1"/>
      <x:c r="AB51" s="31"/>
    </x:row>
    <x:row r="52">
      <x:c r="A52" s="31"/>
      <x:c r="B52" s="31"/>
      <x:c r="C52" s="31"/>
      <x:c r="D52" s="31"/>
      <x:c r="E52" s="31"/>
      <x:c r="F52" s="31"/>
      <x:c r="G52" s="32"/>
      <x:c r="H52" s="33"/>
      <x:c r="I52" s="31"/>
      <x:c r="J52" s="31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1"/>
      <x:c r="AB52" s="31"/>
    </x:row>
    <x:row r="53">
      <x:c r="A53" s="31"/>
      <x:c r="B53" s="31"/>
      <x:c r="C53" s="31"/>
      <x:c r="D53" s="31"/>
      <x:c r="E53" s="31"/>
      <x:c r="F53" s="31"/>
      <x:c r="G53" s="32"/>
      <x:c r="H53" s="33"/>
      <x:c r="I53" s="31"/>
      <x:c r="J53" s="31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1"/>
      <x:c r="AB53" s="31"/>
    </x:row>
    <x:row r="54">
      <x:c r="A54" s="31"/>
      <x:c r="B54" s="31"/>
      <x:c r="C54" s="31"/>
      <x:c r="D54" s="31"/>
      <x:c r="E54" s="31"/>
      <x:c r="F54" s="31"/>
      <x:c r="G54" s="32"/>
      <x:c r="H54" s="33"/>
      <x:c r="I54" s="31"/>
      <x:c r="J54" s="31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1"/>
      <x:c r="AB54" s="31"/>
    </x:row>
    <x:row r="55">
      <x:c r="A55" s="31"/>
      <x:c r="B55" s="31"/>
      <x:c r="C55" s="31"/>
      <x:c r="D55" s="31"/>
      <x:c r="E55" s="31"/>
      <x:c r="F55" s="31"/>
      <x:c r="G55" s="32"/>
      <x:c r="H55" s="33"/>
      <x:c r="I55" s="31"/>
      <x:c r="J55" s="31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1"/>
      <x:c r="AB55" s="31"/>
    </x:row>
    <x:row r="56">
      <x:c r="A56" s="31"/>
      <x:c r="B56" s="31"/>
      <x:c r="C56" s="31"/>
      <x:c r="D56" s="31"/>
      <x:c r="E56" s="31"/>
      <x:c r="F56" s="31"/>
      <x:c r="G56" s="32"/>
      <x:c r="H56" s="33"/>
      <x:c r="I56" s="31"/>
      <x:c r="J56" s="31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1"/>
      <x:c r="AB56" s="31"/>
    </x:row>
    <x:row r="57">
      <x:c r="A57" s="31"/>
      <x:c r="B57" s="31"/>
      <x:c r="C57" s="31"/>
      <x:c r="D57" s="31"/>
      <x:c r="E57" s="31"/>
      <x:c r="F57" s="31"/>
      <x:c r="G57" s="32"/>
      <x:c r="H57" s="33"/>
      <x:c r="I57" s="31"/>
      <x:c r="J57" s="31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1"/>
      <x:c r="AB57" s="31"/>
    </x:row>
    <x:row r="58">
      <x:c r="A58" s="31"/>
      <x:c r="B58" s="31"/>
      <x:c r="C58" s="31"/>
      <x:c r="D58" s="31"/>
      <x:c r="E58" s="31"/>
      <x:c r="F58" s="31"/>
      <x:c r="G58" s="32"/>
      <x:c r="H58" s="33"/>
      <x:c r="I58" s="31"/>
      <x:c r="J58" s="31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1"/>
      <x:c r="AB58" s="31"/>
    </x:row>
    <x:row r="59">
      <x:c r="A59" s="31"/>
      <x:c r="B59" s="31"/>
      <x:c r="C59" s="31"/>
      <x:c r="D59" s="31"/>
      <x:c r="E59" s="31"/>
      <x:c r="F59" s="31"/>
      <x:c r="G59" s="32"/>
      <x:c r="H59" s="33"/>
      <x:c r="I59" s="31"/>
      <x:c r="J59" s="31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1"/>
      <x:c r="AB59" s="31"/>
    </x:row>
    <x:row r="60">
      <x:c r="A60" s="31"/>
      <x:c r="B60" s="31"/>
      <x:c r="C60" s="31"/>
      <x:c r="D60" s="31"/>
      <x:c r="E60" s="31"/>
      <x:c r="F60" s="31"/>
      <x:c r="G60" s="32"/>
      <x:c r="H60" s="33"/>
      <x:c r="I60" s="31"/>
      <x:c r="J60" s="31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1"/>
      <x:c r="AB60" s="31"/>
    </x:row>
    <x:row r="61">
      <x:c r="A61" s="31"/>
      <x:c r="B61" s="31"/>
      <x:c r="C61" s="31"/>
      <x:c r="D61" s="31"/>
      <x:c r="E61" s="31"/>
      <x:c r="F61" s="31"/>
      <x:c r="G61" s="32"/>
      <x:c r="H61" s="33"/>
      <x:c r="I61" s="31"/>
      <x:c r="J61" s="31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1"/>
      <x:c r="AB61" s="31"/>
    </x:row>
    <x:row r="62">
      <x:c r="A62" s="31"/>
      <x:c r="B62" s="31"/>
      <x:c r="C62" s="31"/>
      <x:c r="D62" s="31"/>
      <x:c r="E62" s="31"/>
      <x:c r="F62" s="31"/>
      <x:c r="G62" s="32"/>
      <x:c r="H62" s="33"/>
      <x:c r="I62" s="31"/>
      <x:c r="J62" s="31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1"/>
      <x:c r="AB62" s="31"/>
    </x:row>
    <x:row r="63">
      <x:c r="A63" s="31"/>
      <x:c r="B63" s="31"/>
      <x:c r="C63" s="31"/>
      <x:c r="D63" s="31"/>
      <x:c r="E63" s="31"/>
      <x:c r="F63" s="31"/>
      <x:c r="G63" s="32"/>
      <x:c r="H63" s="33"/>
      <x:c r="I63" s="31"/>
      <x:c r="J63" s="31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1"/>
      <x:c r="AB63" s="31"/>
    </x:row>
    <x:row r="64">
      <x:c r="A64" s="31"/>
      <x:c r="B64" s="31"/>
      <x:c r="C64" s="31"/>
      <x:c r="D64" s="31"/>
      <x:c r="E64" s="31"/>
      <x:c r="F64" s="31"/>
      <x:c r="G64" s="32"/>
      <x:c r="H64" s="33"/>
      <x:c r="I64" s="31"/>
      <x:c r="J64" s="31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1"/>
      <x:c r="AB64" s="31"/>
    </x:row>
    <x:row r="65">
      <x:c r="A65" s="31"/>
      <x:c r="B65" s="31"/>
      <x:c r="C65" s="31"/>
      <x:c r="D65" s="31"/>
      <x:c r="E65" s="31"/>
      <x:c r="F65" s="31"/>
      <x:c r="G65" s="32"/>
      <x:c r="H65" s="33"/>
      <x:c r="I65" s="31"/>
      <x:c r="J65" s="31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1"/>
      <x:c r="AB65" s="31"/>
    </x:row>
    <x:row r="66">
      <x:c r="A66" s="35"/>
      <x:c r="B66" s="35"/>
      <x:c r="C66" s="35"/>
      <x:c r="D66" s="35"/>
      <x:c r="E66" s="35"/>
      <x:c r="F66" s="35"/>
      <x:c r="G66" s="36"/>
      <x:c r="H66" s="37"/>
      <x:c r="I66" s="35"/>
      <x:c r="J66" s="35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5"/>
      <x:c r="AB66" s="35"/>
    </x:row>
  </x:sheetData>
  <x:mergeCells>
    <x:mergeCell ref="A1:AB1"/>
    <x:mergeCell ref="A2:AB2"/>
    <x:mergeCell ref="A4:AB4"/>
  </x:mergeCells>
  <x:dataValidations count="4">
    <x:dataValidation type="list" sqref="B7:B66">
      <x:formula1>"ALI-2017-HOURLY,VIJAY-2023-4DAY,VIJAY-2018-5DAY,NASTRO-2021-DAILY,ERABLE-2011-COD24,CUSTOM-APPROVED"</x:formula1>
    </x:dataValidation>
    <x:dataValidation type="list" sqref="F7:F66">
      <x:formula1>"Start-up,Loaded operation,Polarization,Treatment endpoint,Feed event,Shutdown"</x:formula1>
    </x:dataValidation>
    <x:dataValidation type="list" sqref="J7:J66">
      <x:formula1>"Open circuit,Loaded,Polarization,Short circuit,Treatment only"</x:formula1>
    </x:dataValidation>
    <x:dataValidation type="list" sqref="AB7:AB66">
      <x:formula1>"OK,Missing,Below detection,Instrument issue,Protocol deviation,Suspect"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39" hidden="0" customWidth="1"/>
  </x:cols>
  <x:sheetData>
    <x:row r="1" ht="34" customHeight="1">
      <x:c r="A1" s="5" t="str">
        <x:v>Calculations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8" t="str">
        <x:v>Formula-derived values - do not type over this sheet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40" t="str">
        <x:v>Blank outputs mean required raw measurements are absent or incompatible. Open-circuit and treatment-only rows do not calculate external power.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A6" s="14" t="str">
        <x:v>Measurement_ID</x:v>
      </x:c>
      <x:c r="B6" s="14" t="str">
        <x:v>Protocol_ID</x:v>
      </x:c>
      <x:c r="C6" s="14" t="str">
        <x:v>Reactor_ID</x:v>
      </x:c>
      <x:c r="D6" s="14" t="str">
        <x:v>Cycle_ID</x:v>
      </x:c>
      <x:c r="E6" s="14" t="str">
        <x:v>Elapsed_h</x:v>
      </x:c>
      <x:c r="F6" s="14" t="str">
        <x:v>Circuit_state</x:v>
      </x:c>
      <x:c r="G6" s="14" t="str">
        <x:v>Loaded_voltage_V</x:v>
      </x:c>
      <x:c r="H6" s="14" t="str">
        <x:v>Current_mA</x:v>
      </x:c>
      <x:c r="I6" s="14" t="str">
        <x:v>Power_mW</x:v>
      </x:c>
      <x:c r="J6" s="14" t="str">
        <x:v>Exposed_area_cm2</x:v>
      </x:c>
      <x:c r="K6" s="14" t="str">
        <x:v>Power_density_mW_m2</x:v>
      </x:c>
      <x:c r="L6" s="14" t="str">
        <x:v>COD_removal_percent</x:v>
      </x:c>
      <x:c r="M6" s="14" t="str">
        <x:v>Interval_energy_mWh</x:v>
      </x:c>
      <x:c r="N6" s="14" t="str">
        <x:v>Calculation_status</x:v>
      </x:c>
    </x:row>
    <x:row r="7">
      <x:c r="A7" s="27" t="str">
        <x:f>IF('Raw Measurements'!A7="","",'Raw Measurements'!A7)</x:f>
      </x:c>
      <x:c r="B7" s="27" t="str">
        <x:f>IF('Raw Measurements'!A7="","",'Raw Measurements'!B7)</x:f>
      </x:c>
      <x:c r="C7" s="27" t="str">
        <x:f>IF('Raw Measurements'!A7="","",'Raw Measurements'!C7)</x:f>
      </x:c>
      <x:c r="D7" s="27" t="str">
        <x:f>IF('Raw Measurements'!A7="","",'Raw Measurements'!E7)</x:f>
      </x:c>
      <x:c r="E7" s="27" t="str">
        <x:f>IF('Raw Measurements'!A7="","",'Raw Measurements'!G7)</x:f>
      </x:c>
      <x:c r="F7" s="27" t="str">
        <x:f>IF('Raw Measurements'!A7="","",'Raw Measurements'!J7)</x:f>
      </x:c>
      <x:c r="G7" s="30" t="str">
        <x:f>IF(OR('Raw Measurements'!J7&lt;&gt;"Loaded",'Raw Measurements'!K7=""),"",'Raw Measurements'!K7/1000)</x:f>
      </x:c>
      <x:c r="H7" s="30" t="str">
        <x:f>IF('Raw Measurements'!J7&lt;&gt;"Loaded","",IF('Raw Measurements'!N7&lt;&gt;"",'Raw Measurements'!N7,IF(AND('Raw Measurements'!K7&lt;&gt;"",'Raw Measurements'!M7&gt;0),'Raw Measurements'!K7/'Raw Measurements'!M7,"")))</x:f>
      </x:c>
      <x:c r="I7" s="30" t="str">
        <x:f>IF(OR(G7="",H7=""),"",G7*H7)</x:f>
      </x:c>
      <x:c r="J7" s="30" t="str">
        <x:f>IF('Experiment Metadata'!B30="","",'Experiment Metadata'!B30)</x:f>
      </x:c>
      <x:c r="K7" s="30" t="str">
        <x:f>IF(OR(I7="",J7="",J7&lt;=0),"",I7*10000/J7)</x:f>
      </x:c>
      <x:c r="L7" s="30" t="str">
        <x:f>IF(OR('Raw Measurements'!X7="",'Raw Measurements'!Y7="",'Raw Measurements'!X7&lt;=0),"",('Raw Measurements'!X7-'Raw Measurements'!Y7)/'Raw Measurements'!X7*100)</x:f>
      </x:c>
      <x:c r="M7" s="30" t="str">
        <x:f>""</x:f>
      </x:c>
      <x:c r="N7" s="27" t="str">
        <x:f>IF(A7="","Awaiting raw observation",IF(F7="Open circuit","OCV only - no external power",IF(F7="Short circuit","Treatment state - no external power",IF(F7&lt;&gt;"Loaded","Stored separately",IF(AND(G7&lt;&gt;"",H7&lt;&gt;""),"Calculated from compatible loaded data","Awaiting loaded V + R or measured I")))))</x:f>
        <x:v>Awaiting raw observation</x:v>
      </x:c>
    </x:row>
    <x:row r="8">
      <x:c r="A8" s="31" t="str">
        <x:f>IF('Raw Measurements'!A8="","",'Raw Measurements'!A8)</x:f>
      </x:c>
      <x:c r="B8" s="31" t="str">
        <x:f>IF('Raw Measurements'!A8="","",'Raw Measurements'!B8)</x:f>
      </x:c>
      <x:c r="C8" s="31" t="str">
        <x:f>IF('Raw Measurements'!A8="","",'Raw Measurements'!C8)</x:f>
      </x:c>
      <x:c r="D8" s="31" t="str">
        <x:f>IF('Raw Measurements'!A8="","",'Raw Measurements'!E8)</x:f>
      </x:c>
      <x:c r="E8" s="31" t="str">
        <x:f>IF('Raw Measurements'!A8="","",'Raw Measurements'!G8)</x:f>
      </x:c>
      <x:c r="F8" s="31" t="str">
        <x:f>IF('Raw Measurements'!A8="","",'Raw Measurements'!J8)</x:f>
      </x:c>
      <x:c r="G8" s="34" t="str">
        <x:f>IF(OR('Raw Measurements'!J8&lt;&gt;"Loaded",'Raw Measurements'!K8=""),"",'Raw Measurements'!K8/1000)</x:f>
      </x:c>
      <x:c r="H8" s="34" t="str">
        <x:f>IF('Raw Measurements'!J8&lt;&gt;"Loaded","",IF('Raw Measurements'!N8&lt;&gt;"",'Raw Measurements'!N8,IF(AND('Raw Measurements'!K8&lt;&gt;"",'Raw Measurements'!M8&gt;0),'Raw Measurements'!K8/'Raw Measurements'!M8,"")))</x:f>
      </x:c>
      <x:c r="I8" s="34" t="str">
        <x:f>IF(OR(G8="",H8=""),"",G8*H8)</x:f>
      </x:c>
      <x:c r="J8" s="34" t="str">
        <x:f>IF('Experiment Metadata'!B30="","",'Experiment Metadata'!B30)</x:f>
      </x:c>
      <x:c r="K8" s="34" t="str">
        <x:f>IF(OR(I8="",J8="",J8&lt;=0),"",I8*10000/J8)</x:f>
      </x:c>
      <x:c r="L8" s="34" t="str">
        <x:f>IF(OR('Raw Measurements'!X8="",'Raw Measurements'!Y8="",'Raw Measurements'!X8&lt;=0),"",('Raw Measurements'!X8-'Raw Measurements'!Y8)/'Raw Measurements'!X8*100)</x:f>
      </x:c>
      <x:c r="M8" s="34" t="str">
        <x:f>IF(OR(A8="",A7="",I8="",I7="",C8&lt;&gt;C7,D8&lt;&gt;D7,E8&lt;=E7),"",(I8+I7)/2*(E8-E7))</x:f>
      </x:c>
      <x:c r="N8" s="31" t="str">
        <x:f>IF(A8="","Awaiting raw observation",IF(F8="Open circuit","OCV only - no external power",IF(F8="Short circuit","Treatment state - no external power",IF(F8&lt;&gt;"Loaded","Stored separately",IF(AND(G8&lt;&gt;"",H8&lt;&gt;""),"Calculated from compatible loaded data","Awaiting loaded V + R or measured I")))))</x:f>
        <x:v>Awaiting raw observation</x:v>
      </x:c>
    </x:row>
    <x:row r="9">
      <x:c r="A9" s="31" t="str">
        <x:f>IF('Raw Measurements'!A9="","",'Raw Measurements'!A9)</x:f>
      </x:c>
      <x:c r="B9" s="31" t="str">
        <x:f>IF('Raw Measurements'!A9="","",'Raw Measurements'!B9)</x:f>
      </x:c>
      <x:c r="C9" s="31" t="str">
        <x:f>IF('Raw Measurements'!A9="","",'Raw Measurements'!C9)</x:f>
      </x:c>
      <x:c r="D9" s="31" t="str">
        <x:f>IF('Raw Measurements'!A9="","",'Raw Measurements'!E9)</x:f>
      </x:c>
      <x:c r="E9" s="31" t="str">
        <x:f>IF('Raw Measurements'!A9="","",'Raw Measurements'!G9)</x:f>
      </x:c>
      <x:c r="F9" s="31" t="str">
        <x:f>IF('Raw Measurements'!A9="","",'Raw Measurements'!J9)</x:f>
      </x:c>
      <x:c r="G9" s="34" t="str">
        <x:f>IF(OR('Raw Measurements'!J9&lt;&gt;"Loaded",'Raw Measurements'!K9=""),"",'Raw Measurements'!K9/1000)</x:f>
      </x:c>
      <x:c r="H9" s="34" t="str">
        <x:f>IF('Raw Measurements'!J9&lt;&gt;"Loaded","",IF('Raw Measurements'!N9&lt;&gt;"",'Raw Measurements'!N9,IF(AND('Raw Measurements'!K9&lt;&gt;"",'Raw Measurements'!M9&gt;0),'Raw Measurements'!K9/'Raw Measurements'!M9,"")))</x:f>
      </x:c>
      <x:c r="I9" s="34" t="str">
        <x:f>IF(OR(G9="",H9=""),"",G9*H9)</x:f>
      </x:c>
      <x:c r="J9" s="34" t="str">
        <x:f>IF('Experiment Metadata'!B30="","",'Experiment Metadata'!B30)</x:f>
      </x:c>
      <x:c r="K9" s="34" t="str">
        <x:f>IF(OR(I9="",J9="",J9&lt;=0),"",I9*10000/J9)</x:f>
      </x:c>
      <x:c r="L9" s="34" t="str">
        <x:f>IF(OR('Raw Measurements'!X9="",'Raw Measurements'!Y9="",'Raw Measurements'!X9&lt;=0),"",('Raw Measurements'!X9-'Raw Measurements'!Y9)/'Raw Measurements'!X9*100)</x:f>
      </x:c>
      <x:c r="M9" s="34" t="str">
        <x:f>IF(OR(A9="",A8="",I9="",I8="",C9&lt;&gt;C8,D9&lt;&gt;D8,E9&lt;=E8),"",(I9+I8)/2*(E9-E8))</x:f>
      </x:c>
      <x:c r="N9" s="31" t="str">
        <x:f>IF(A9="","Awaiting raw observation",IF(F9="Open circuit","OCV only - no external power",IF(F9="Short circuit","Treatment state - no external power",IF(F9&lt;&gt;"Loaded","Stored separately",IF(AND(G9&lt;&gt;"",H9&lt;&gt;""),"Calculated from compatible loaded data","Awaiting loaded V + R or measured I")))))</x:f>
        <x:v>Awaiting raw observation</x:v>
      </x:c>
    </x:row>
    <x:row r="10">
      <x:c r="A10" s="31" t="str">
        <x:f>IF('Raw Measurements'!A10="","",'Raw Measurements'!A10)</x:f>
      </x:c>
      <x:c r="B10" s="31" t="str">
        <x:f>IF('Raw Measurements'!A10="","",'Raw Measurements'!B10)</x:f>
      </x:c>
      <x:c r="C10" s="31" t="str">
        <x:f>IF('Raw Measurements'!A10="","",'Raw Measurements'!C10)</x:f>
      </x:c>
      <x:c r="D10" s="31" t="str">
        <x:f>IF('Raw Measurements'!A10="","",'Raw Measurements'!E10)</x:f>
      </x:c>
      <x:c r="E10" s="31" t="str">
        <x:f>IF('Raw Measurements'!A10="","",'Raw Measurements'!G10)</x:f>
      </x:c>
      <x:c r="F10" s="31" t="str">
        <x:f>IF('Raw Measurements'!A10="","",'Raw Measurements'!J10)</x:f>
      </x:c>
      <x:c r="G10" s="34" t="str">
        <x:f>IF(OR('Raw Measurements'!J10&lt;&gt;"Loaded",'Raw Measurements'!K10=""),"",'Raw Measurements'!K10/1000)</x:f>
      </x:c>
      <x:c r="H10" s="34" t="str">
        <x:f>IF('Raw Measurements'!J10&lt;&gt;"Loaded","",IF('Raw Measurements'!N10&lt;&gt;"",'Raw Measurements'!N10,IF(AND('Raw Measurements'!K10&lt;&gt;"",'Raw Measurements'!M10&gt;0),'Raw Measurements'!K10/'Raw Measurements'!M10,"")))</x:f>
      </x:c>
      <x:c r="I10" s="34" t="str">
        <x:f>IF(OR(G10="",H10=""),"",G10*H10)</x:f>
      </x:c>
      <x:c r="J10" s="34" t="str">
        <x:f>IF('Experiment Metadata'!B30="","",'Experiment Metadata'!B30)</x:f>
      </x:c>
      <x:c r="K10" s="34" t="str">
        <x:f>IF(OR(I10="",J10="",J10&lt;=0),"",I10*10000/J10)</x:f>
      </x:c>
      <x:c r="L10" s="34" t="str">
        <x:f>IF(OR('Raw Measurements'!X10="",'Raw Measurements'!Y10="",'Raw Measurements'!X10&lt;=0),"",('Raw Measurements'!X10-'Raw Measurements'!Y10)/'Raw Measurements'!X10*100)</x:f>
      </x:c>
      <x:c r="M10" s="34" t="str">
        <x:f>IF(OR(A10="",A9="",I10="",I9="",C10&lt;&gt;C9,D10&lt;&gt;D9,E10&lt;=E9),"",(I10+I9)/2*(E10-E9))</x:f>
      </x:c>
      <x:c r="N10" s="31" t="str">
        <x:f>IF(A10="","Awaiting raw observation",IF(F10="Open circuit","OCV only - no external power",IF(F10="Short circuit","Treatment state - no external power",IF(F10&lt;&gt;"Loaded","Stored separately",IF(AND(G10&lt;&gt;"",H10&lt;&gt;""),"Calculated from compatible loaded data","Awaiting loaded V + R or measured I")))))</x:f>
        <x:v>Awaiting raw observation</x:v>
      </x:c>
    </x:row>
    <x:row r="11">
      <x:c r="A11" s="31" t="str">
        <x:f>IF('Raw Measurements'!A11="","",'Raw Measurements'!A11)</x:f>
      </x:c>
      <x:c r="B11" s="31" t="str">
        <x:f>IF('Raw Measurements'!A11="","",'Raw Measurements'!B11)</x:f>
      </x:c>
      <x:c r="C11" s="31" t="str">
        <x:f>IF('Raw Measurements'!A11="","",'Raw Measurements'!C11)</x:f>
      </x:c>
      <x:c r="D11" s="31" t="str">
        <x:f>IF('Raw Measurements'!A11="","",'Raw Measurements'!E11)</x:f>
      </x:c>
      <x:c r="E11" s="31" t="str">
        <x:f>IF('Raw Measurements'!A11="","",'Raw Measurements'!G11)</x:f>
      </x:c>
      <x:c r="F11" s="31" t="str">
        <x:f>IF('Raw Measurements'!A11="","",'Raw Measurements'!J11)</x:f>
      </x:c>
      <x:c r="G11" s="34" t="str">
        <x:f>IF(OR('Raw Measurements'!J11&lt;&gt;"Loaded",'Raw Measurements'!K11=""),"",'Raw Measurements'!K11/1000)</x:f>
      </x:c>
      <x:c r="H11" s="34" t="str">
        <x:f>IF('Raw Measurements'!J11&lt;&gt;"Loaded","",IF('Raw Measurements'!N11&lt;&gt;"",'Raw Measurements'!N11,IF(AND('Raw Measurements'!K11&lt;&gt;"",'Raw Measurements'!M11&gt;0),'Raw Measurements'!K11/'Raw Measurements'!M11,"")))</x:f>
      </x:c>
      <x:c r="I11" s="34" t="str">
        <x:f>IF(OR(G11="",H11=""),"",G11*H11)</x:f>
      </x:c>
      <x:c r="J11" s="34" t="str">
        <x:f>IF('Experiment Metadata'!B30="","",'Experiment Metadata'!B30)</x:f>
      </x:c>
      <x:c r="K11" s="34" t="str">
        <x:f>IF(OR(I11="",J11="",J11&lt;=0),"",I11*10000/J11)</x:f>
      </x:c>
      <x:c r="L11" s="34" t="str">
        <x:f>IF(OR('Raw Measurements'!X11="",'Raw Measurements'!Y11="",'Raw Measurements'!X11&lt;=0),"",('Raw Measurements'!X11-'Raw Measurements'!Y11)/'Raw Measurements'!X11*100)</x:f>
      </x:c>
      <x:c r="M11" s="34" t="str">
        <x:f>IF(OR(A11="",A10="",I11="",I10="",C11&lt;&gt;C10,D11&lt;&gt;D10,E11&lt;=E10),"",(I11+I10)/2*(E11-E10))</x:f>
      </x:c>
      <x:c r="N11" s="31" t="str">
        <x:f>IF(A11="","Awaiting raw observation",IF(F11="Open circuit","OCV only - no external power",IF(F11="Short circuit","Treatment state - no external power",IF(F11&lt;&gt;"Loaded","Stored separately",IF(AND(G11&lt;&gt;"",H11&lt;&gt;""),"Calculated from compatible loaded data","Awaiting loaded V + R or measured I")))))</x:f>
        <x:v>Awaiting raw observation</x:v>
      </x:c>
    </x:row>
    <x:row r="12">
      <x:c r="A12" s="31" t="str">
        <x:f>IF('Raw Measurements'!A12="","",'Raw Measurements'!A12)</x:f>
      </x:c>
      <x:c r="B12" s="31" t="str">
        <x:f>IF('Raw Measurements'!A12="","",'Raw Measurements'!B12)</x:f>
      </x:c>
      <x:c r="C12" s="31" t="str">
        <x:f>IF('Raw Measurements'!A12="","",'Raw Measurements'!C12)</x:f>
      </x:c>
      <x:c r="D12" s="31" t="str">
        <x:f>IF('Raw Measurements'!A12="","",'Raw Measurements'!E12)</x:f>
      </x:c>
      <x:c r="E12" s="31" t="str">
        <x:f>IF('Raw Measurements'!A12="","",'Raw Measurements'!G12)</x:f>
      </x:c>
      <x:c r="F12" s="31" t="str">
        <x:f>IF('Raw Measurements'!A12="","",'Raw Measurements'!J12)</x:f>
      </x:c>
      <x:c r="G12" s="34" t="str">
        <x:f>IF(OR('Raw Measurements'!J12&lt;&gt;"Loaded",'Raw Measurements'!K12=""),"",'Raw Measurements'!K12/1000)</x:f>
      </x:c>
      <x:c r="H12" s="34" t="str">
        <x:f>IF('Raw Measurements'!J12&lt;&gt;"Loaded","",IF('Raw Measurements'!N12&lt;&gt;"",'Raw Measurements'!N12,IF(AND('Raw Measurements'!K12&lt;&gt;"",'Raw Measurements'!M12&gt;0),'Raw Measurements'!K12/'Raw Measurements'!M12,"")))</x:f>
      </x:c>
      <x:c r="I12" s="34" t="str">
        <x:f>IF(OR(G12="",H12=""),"",G12*H12)</x:f>
      </x:c>
      <x:c r="J12" s="34" t="str">
        <x:f>IF('Experiment Metadata'!B30="","",'Experiment Metadata'!B30)</x:f>
      </x:c>
      <x:c r="K12" s="34" t="str">
        <x:f>IF(OR(I12="",J12="",J12&lt;=0),"",I12*10000/J12)</x:f>
      </x:c>
      <x:c r="L12" s="34" t="str">
        <x:f>IF(OR('Raw Measurements'!X12="",'Raw Measurements'!Y12="",'Raw Measurements'!X12&lt;=0),"",('Raw Measurements'!X12-'Raw Measurements'!Y12)/'Raw Measurements'!X12*100)</x:f>
      </x:c>
      <x:c r="M12" s="34" t="str">
        <x:f>IF(OR(A12="",A11="",I12="",I11="",C12&lt;&gt;C11,D12&lt;&gt;D11,E12&lt;=E11),"",(I12+I11)/2*(E12-E11))</x:f>
      </x:c>
      <x:c r="N12" s="31" t="str">
        <x:f>IF(A12="","Awaiting raw observation",IF(F12="Open circuit","OCV only - no external power",IF(F12="Short circuit","Treatment state - no external power",IF(F12&lt;&gt;"Loaded","Stored separately",IF(AND(G12&lt;&gt;"",H12&lt;&gt;""),"Calculated from compatible loaded data","Awaiting loaded V + R or measured I")))))</x:f>
        <x:v>Awaiting raw observation</x:v>
      </x:c>
    </x:row>
    <x:row r="13">
      <x:c r="A13" s="31" t="str">
        <x:f>IF('Raw Measurements'!A13="","",'Raw Measurements'!A13)</x:f>
      </x:c>
      <x:c r="B13" s="31" t="str">
        <x:f>IF('Raw Measurements'!A13="","",'Raw Measurements'!B13)</x:f>
      </x:c>
      <x:c r="C13" s="31" t="str">
        <x:f>IF('Raw Measurements'!A13="","",'Raw Measurements'!C13)</x:f>
      </x:c>
      <x:c r="D13" s="31" t="str">
        <x:f>IF('Raw Measurements'!A13="","",'Raw Measurements'!E13)</x:f>
      </x:c>
      <x:c r="E13" s="31" t="str">
        <x:f>IF('Raw Measurements'!A13="","",'Raw Measurements'!G13)</x:f>
      </x:c>
      <x:c r="F13" s="31" t="str">
        <x:f>IF('Raw Measurements'!A13="","",'Raw Measurements'!J13)</x:f>
      </x:c>
      <x:c r="G13" s="34" t="str">
        <x:f>IF(OR('Raw Measurements'!J13&lt;&gt;"Loaded",'Raw Measurements'!K13=""),"",'Raw Measurements'!K13/1000)</x:f>
      </x:c>
      <x:c r="H13" s="34" t="str">
        <x:f>IF('Raw Measurements'!J13&lt;&gt;"Loaded","",IF('Raw Measurements'!N13&lt;&gt;"",'Raw Measurements'!N13,IF(AND('Raw Measurements'!K13&lt;&gt;"",'Raw Measurements'!M13&gt;0),'Raw Measurements'!K13/'Raw Measurements'!M13,"")))</x:f>
      </x:c>
      <x:c r="I13" s="34" t="str">
        <x:f>IF(OR(G13="",H13=""),"",G13*H13)</x:f>
      </x:c>
      <x:c r="J13" s="34" t="str">
        <x:f>IF('Experiment Metadata'!B30="","",'Experiment Metadata'!B30)</x:f>
      </x:c>
      <x:c r="K13" s="34" t="str">
        <x:f>IF(OR(I13="",J13="",J13&lt;=0),"",I13*10000/J13)</x:f>
      </x:c>
      <x:c r="L13" s="34" t="str">
        <x:f>IF(OR('Raw Measurements'!X13="",'Raw Measurements'!Y13="",'Raw Measurements'!X13&lt;=0),"",('Raw Measurements'!X13-'Raw Measurements'!Y13)/'Raw Measurements'!X13*100)</x:f>
      </x:c>
      <x:c r="M13" s="34" t="str">
        <x:f>IF(OR(A13="",A12="",I13="",I12="",C13&lt;&gt;C12,D13&lt;&gt;D12,E13&lt;=E12),"",(I13+I12)/2*(E13-E12))</x:f>
      </x:c>
      <x:c r="N13" s="31" t="str">
        <x:f>IF(A13="","Awaiting raw observation",IF(F13="Open circuit","OCV only - no external power",IF(F13="Short circuit","Treatment state - no external power",IF(F13&lt;&gt;"Loaded","Stored separately",IF(AND(G13&lt;&gt;"",H13&lt;&gt;""),"Calculated from compatible loaded data","Awaiting loaded V + R or measured I")))))</x:f>
        <x:v>Awaiting raw observation</x:v>
      </x:c>
    </x:row>
    <x:row r="14">
      <x:c r="A14" s="31" t="str">
        <x:f>IF('Raw Measurements'!A14="","",'Raw Measurements'!A14)</x:f>
      </x:c>
      <x:c r="B14" s="31" t="str">
        <x:f>IF('Raw Measurements'!A14="","",'Raw Measurements'!B14)</x:f>
      </x:c>
      <x:c r="C14" s="31" t="str">
        <x:f>IF('Raw Measurements'!A14="","",'Raw Measurements'!C14)</x:f>
      </x:c>
      <x:c r="D14" s="31" t="str">
        <x:f>IF('Raw Measurements'!A14="","",'Raw Measurements'!E14)</x:f>
      </x:c>
      <x:c r="E14" s="31" t="str">
        <x:f>IF('Raw Measurements'!A14="","",'Raw Measurements'!G14)</x:f>
      </x:c>
      <x:c r="F14" s="31" t="str">
        <x:f>IF('Raw Measurements'!A14="","",'Raw Measurements'!J14)</x:f>
      </x:c>
      <x:c r="G14" s="34" t="str">
        <x:f>IF(OR('Raw Measurements'!J14&lt;&gt;"Loaded",'Raw Measurements'!K14=""),"",'Raw Measurements'!K14/1000)</x:f>
      </x:c>
      <x:c r="H14" s="34" t="str">
        <x:f>IF('Raw Measurements'!J14&lt;&gt;"Loaded","",IF('Raw Measurements'!N14&lt;&gt;"",'Raw Measurements'!N14,IF(AND('Raw Measurements'!K14&lt;&gt;"",'Raw Measurements'!M14&gt;0),'Raw Measurements'!K14/'Raw Measurements'!M14,"")))</x:f>
      </x:c>
      <x:c r="I14" s="34" t="str">
        <x:f>IF(OR(G14="",H14=""),"",G14*H14)</x:f>
      </x:c>
      <x:c r="J14" s="34" t="str">
        <x:f>IF('Experiment Metadata'!B30="","",'Experiment Metadata'!B30)</x:f>
      </x:c>
      <x:c r="K14" s="34" t="str">
        <x:f>IF(OR(I14="",J14="",J14&lt;=0),"",I14*10000/J14)</x:f>
      </x:c>
      <x:c r="L14" s="34" t="str">
        <x:f>IF(OR('Raw Measurements'!X14="",'Raw Measurements'!Y14="",'Raw Measurements'!X14&lt;=0),"",('Raw Measurements'!X14-'Raw Measurements'!Y14)/'Raw Measurements'!X14*100)</x:f>
      </x:c>
      <x:c r="M14" s="34" t="str">
        <x:f>IF(OR(A14="",A13="",I14="",I13="",C14&lt;&gt;C13,D14&lt;&gt;D13,E14&lt;=E13),"",(I14+I13)/2*(E14-E13))</x:f>
      </x:c>
      <x:c r="N14" s="31" t="str">
        <x:f>IF(A14="","Awaiting raw observation",IF(F14="Open circuit","OCV only - no external power",IF(F14="Short circuit","Treatment state - no external power",IF(F14&lt;&gt;"Loaded","Stored separately",IF(AND(G14&lt;&gt;"",H14&lt;&gt;""),"Calculated from compatible loaded data","Awaiting loaded V + R or measured I")))))</x:f>
        <x:v>Awaiting raw observation</x:v>
      </x:c>
    </x:row>
    <x:row r="15">
      <x:c r="A15" s="31" t="str">
        <x:f>IF('Raw Measurements'!A15="","",'Raw Measurements'!A15)</x:f>
      </x:c>
      <x:c r="B15" s="31" t="str">
        <x:f>IF('Raw Measurements'!A15="","",'Raw Measurements'!B15)</x:f>
      </x:c>
      <x:c r="C15" s="31" t="str">
        <x:f>IF('Raw Measurements'!A15="","",'Raw Measurements'!C15)</x:f>
      </x:c>
      <x:c r="D15" s="31" t="str">
        <x:f>IF('Raw Measurements'!A15="","",'Raw Measurements'!E15)</x:f>
      </x:c>
      <x:c r="E15" s="31" t="str">
        <x:f>IF('Raw Measurements'!A15="","",'Raw Measurements'!G15)</x:f>
      </x:c>
      <x:c r="F15" s="31" t="str">
        <x:f>IF('Raw Measurements'!A15="","",'Raw Measurements'!J15)</x:f>
      </x:c>
      <x:c r="G15" s="34" t="str">
        <x:f>IF(OR('Raw Measurements'!J15&lt;&gt;"Loaded",'Raw Measurements'!K15=""),"",'Raw Measurements'!K15/1000)</x:f>
      </x:c>
      <x:c r="H15" s="34" t="str">
        <x:f>IF('Raw Measurements'!J15&lt;&gt;"Loaded","",IF('Raw Measurements'!N15&lt;&gt;"",'Raw Measurements'!N15,IF(AND('Raw Measurements'!K15&lt;&gt;"",'Raw Measurements'!M15&gt;0),'Raw Measurements'!K15/'Raw Measurements'!M15,"")))</x:f>
      </x:c>
      <x:c r="I15" s="34" t="str">
        <x:f>IF(OR(G15="",H15=""),"",G15*H15)</x:f>
      </x:c>
      <x:c r="J15" s="34" t="str">
        <x:f>IF('Experiment Metadata'!B30="","",'Experiment Metadata'!B30)</x:f>
      </x:c>
      <x:c r="K15" s="34" t="str">
        <x:f>IF(OR(I15="",J15="",J15&lt;=0),"",I15*10000/J15)</x:f>
      </x:c>
      <x:c r="L15" s="34" t="str">
        <x:f>IF(OR('Raw Measurements'!X15="",'Raw Measurements'!Y15="",'Raw Measurements'!X15&lt;=0),"",('Raw Measurements'!X15-'Raw Measurements'!Y15)/'Raw Measurements'!X15*100)</x:f>
      </x:c>
      <x:c r="M15" s="34" t="str">
        <x:f>IF(OR(A15="",A14="",I15="",I14="",C15&lt;&gt;C14,D15&lt;&gt;D14,E15&lt;=E14),"",(I15+I14)/2*(E15-E14))</x:f>
      </x:c>
      <x:c r="N15" s="31" t="str">
        <x:f>IF(A15="","Awaiting raw observation",IF(F15="Open circuit","OCV only - no external power",IF(F15="Short circuit","Treatment state - no external power",IF(F15&lt;&gt;"Loaded","Stored separately",IF(AND(G15&lt;&gt;"",H15&lt;&gt;""),"Calculated from compatible loaded data","Awaiting loaded V + R or measured I")))))</x:f>
        <x:v>Awaiting raw observation</x:v>
      </x:c>
    </x:row>
    <x:row r="16">
      <x:c r="A16" s="31" t="str">
        <x:f>IF('Raw Measurements'!A16="","",'Raw Measurements'!A16)</x:f>
      </x:c>
      <x:c r="B16" s="31" t="str">
        <x:f>IF('Raw Measurements'!A16="","",'Raw Measurements'!B16)</x:f>
      </x:c>
      <x:c r="C16" s="31" t="str">
        <x:f>IF('Raw Measurements'!A16="","",'Raw Measurements'!C16)</x:f>
      </x:c>
      <x:c r="D16" s="31" t="str">
        <x:f>IF('Raw Measurements'!A16="","",'Raw Measurements'!E16)</x:f>
      </x:c>
      <x:c r="E16" s="31" t="str">
        <x:f>IF('Raw Measurements'!A16="","",'Raw Measurements'!G16)</x:f>
      </x:c>
      <x:c r="F16" s="31" t="str">
        <x:f>IF('Raw Measurements'!A16="","",'Raw Measurements'!J16)</x:f>
      </x:c>
      <x:c r="G16" s="34" t="str">
        <x:f>IF(OR('Raw Measurements'!J16&lt;&gt;"Loaded",'Raw Measurements'!K16=""),"",'Raw Measurements'!K16/1000)</x:f>
      </x:c>
      <x:c r="H16" s="34" t="str">
        <x:f>IF('Raw Measurements'!J16&lt;&gt;"Loaded","",IF('Raw Measurements'!N16&lt;&gt;"",'Raw Measurements'!N16,IF(AND('Raw Measurements'!K16&lt;&gt;"",'Raw Measurements'!M16&gt;0),'Raw Measurements'!K16/'Raw Measurements'!M16,"")))</x:f>
      </x:c>
      <x:c r="I16" s="34" t="str">
        <x:f>IF(OR(G16="",H16=""),"",G16*H16)</x:f>
      </x:c>
      <x:c r="J16" s="34" t="str">
        <x:f>IF('Experiment Metadata'!B30="","",'Experiment Metadata'!B30)</x:f>
      </x:c>
      <x:c r="K16" s="34" t="str">
        <x:f>IF(OR(I16="",J16="",J16&lt;=0),"",I16*10000/J16)</x:f>
      </x:c>
      <x:c r="L16" s="34" t="str">
        <x:f>IF(OR('Raw Measurements'!X16="",'Raw Measurements'!Y16="",'Raw Measurements'!X16&lt;=0),"",('Raw Measurements'!X16-'Raw Measurements'!Y16)/'Raw Measurements'!X16*100)</x:f>
      </x:c>
      <x:c r="M16" s="34" t="str">
        <x:f>IF(OR(A16="",A15="",I16="",I15="",C16&lt;&gt;C15,D16&lt;&gt;D15,E16&lt;=E15),"",(I16+I15)/2*(E16-E15))</x:f>
      </x:c>
      <x:c r="N16" s="31" t="str">
        <x:f>IF(A16="","Awaiting raw observation",IF(F16="Open circuit","OCV only - no external power",IF(F16="Short circuit","Treatment state - no external power",IF(F16&lt;&gt;"Loaded","Stored separately",IF(AND(G16&lt;&gt;"",H16&lt;&gt;""),"Calculated from compatible loaded data","Awaiting loaded V + R or measured I")))))</x:f>
        <x:v>Awaiting raw observation</x:v>
      </x:c>
    </x:row>
    <x:row r="17">
      <x:c r="A17" s="31" t="str">
        <x:f>IF('Raw Measurements'!A17="","",'Raw Measurements'!A17)</x:f>
      </x:c>
      <x:c r="B17" s="31" t="str">
        <x:f>IF('Raw Measurements'!A17="","",'Raw Measurements'!B17)</x:f>
      </x:c>
      <x:c r="C17" s="31" t="str">
        <x:f>IF('Raw Measurements'!A17="","",'Raw Measurements'!C17)</x:f>
      </x:c>
      <x:c r="D17" s="31" t="str">
        <x:f>IF('Raw Measurements'!A17="","",'Raw Measurements'!E17)</x:f>
      </x:c>
      <x:c r="E17" s="31" t="str">
        <x:f>IF('Raw Measurements'!A17="","",'Raw Measurements'!G17)</x:f>
      </x:c>
      <x:c r="F17" s="31" t="str">
        <x:f>IF('Raw Measurements'!A17="","",'Raw Measurements'!J17)</x:f>
      </x:c>
      <x:c r="G17" s="34" t="str">
        <x:f>IF(OR('Raw Measurements'!J17&lt;&gt;"Loaded",'Raw Measurements'!K17=""),"",'Raw Measurements'!K17/1000)</x:f>
      </x:c>
      <x:c r="H17" s="34" t="str">
        <x:f>IF('Raw Measurements'!J17&lt;&gt;"Loaded","",IF('Raw Measurements'!N17&lt;&gt;"",'Raw Measurements'!N17,IF(AND('Raw Measurements'!K17&lt;&gt;"",'Raw Measurements'!M17&gt;0),'Raw Measurements'!K17/'Raw Measurements'!M17,"")))</x:f>
      </x:c>
      <x:c r="I17" s="34" t="str">
        <x:f>IF(OR(G17="",H17=""),"",G17*H17)</x:f>
      </x:c>
      <x:c r="J17" s="34" t="str">
        <x:f>IF('Experiment Metadata'!B30="","",'Experiment Metadata'!B30)</x:f>
      </x:c>
      <x:c r="K17" s="34" t="str">
        <x:f>IF(OR(I17="",J17="",J17&lt;=0),"",I17*10000/J17)</x:f>
      </x:c>
      <x:c r="L17" s="34" t="str">
        <x:f>IF(OR('Raw Measurements'!X17="",'Raw Measurements'!Y17="",'Raw Measurements'!X17&lt;=0),"",('Raw Measurements'!X17-'Raw Measurements'!Y17)/'Raw Measurements'!X17*100)</x:f>
      </x:c>
      <x:c r="M17" s="34" t="str">
        <x:f>IF(OR(A17="",A16="",I17="",I16="",C17&lt;&gt;C16,D17&lt;&gt;D16,E17&lt;=E16),"",(I17+I16)/2*(E17-E16))</x:f>
      </x:c>
      <x:c r="N17" s="31" t="str">
        <x:f>IF(A17="","Awaiting raw observation",IF(F17="Open circuit","OCV only - no external power",IF(F17="Short circuit","Treatment state - no external power",IF(F17&lt;&gt;"Loaded","Stored separately",IF(AND(G17&lt;&gt;"",H17&lt;&gt;""),"Calculated from compatible loaded data","Awaiting loaded V + R or measured I")))))</x:f>
        <x:v>Awaiting raw observation</x:v>
      </x:c>
    </x:row>
    <x:row r="18">
      <x:c r="A18" s="31" t="str">
        <x:f>IF('Raw Measurements'!A18="","",'Raw Measurements'!A18)</x:f>
      </x:c>
      <x:c r="B18" s="31" t="str">
        <x:f>IF('Raw Measurements'!A18="","",'Raw Measurements'!B18)</x:f>
      </x:c>
      <x:c r="C18" s="31" t="str">
        <x:f>IF('Raw Measurements'!A18="","",'Raw Measurements'!C18)</x:f>
      </x:c>
      <x:c r="D18" s="31" t="str">
        <x:f>IF('Raw Measurements'!A18="","",'Raw Measurements'!E18)</x:f>
      </x:c>
      <x:c r="E18" s="31" t="str">
        <x:f>IF('Raw Measurements'!A18="","",'Raw Measurements'!G18)</x:f>
      </x:c>
      <x:c r="F18" s="31" t="str">
        <x:f>IF('Raw Measurements'!A18="","",'Raw Measurements'!J18)</x:f>
      </x:c>
      <x:c r="G18" s="34" t="str">
        <x:f>IF(OR('Raw Measurements'!J18&lt;&gt;"Loaded",'Raw Measurements'!K18=""),"",'Raw Measurements'!K18/1000)</x:f>
      </x:c>
      <x:c r="H18" s="34" t="str">
        <x:f>IF('Raw Measurements'!J18&lt;&gt;"Loaded","",IF('Raw Measurements'!N18&lt;&gt;"",'Raw Measurements'!N18,IF(AND('Raw Measurements'!K18&lt;&gt;"",'Raw Measurements'!M18&gt;0),'Raw Measurements'!K18/'Raw Measurements'!M18,"")))</x:f>
      </x:c>
      <x:c r="I18" s="34" t="str">
        <x:f>IF(OR(G18="",H18=""),"",G18*H18)</x:f>
      </x:c>
      <x:c r="J18" s="34" t="str">
        <x:f>IF('Experiment Metadata'!B30="","",'Experiment Metadata'!B30)</x:f>
      </x:c>
      <x:c r="K18" s="34" t="str">
        <x:f>IF(OR(I18="",J18="",J18&lt;=0),"",I18*10000/J18)</x:f>
      </x:c>
      <x:c r="L18" s="34" t="str">
        <x:f>IF(OR('Raw Measurements'!X18="",'Raw Measurements'!Y18="",'Raw Measurements'!X18&lt;=0),"",('Raw Measurements'!X18-'Raw Measurements'!Y18)/'Raw Measurements'!X18*100)</x:f>
      </x:c>
      <x:c r="M18" s="34" t="str">
        <x:f>IF(OR(A18="",A17="",I18="",I17="",C18&lt;&gt;C17,D18&lt;&gt;D17,E18&lt;=E17),"",(I18+I17)/2*(E18-E17))</x:f>
      </x:c>
      <x:c r="N18" s="31" t="str">
        <x:f>IF(A18="","Awaiting raw observation",IF(F18="Open circuit","OCV only - no external power",IF(F18="Short circuit","Treatment state - no external power",IF(F18&lt;&gt;"Loaded","Stored separately",IF(AND(G18&lt;&gt;"",H18&lt;&gt;""),"Calculated from compatible loaded data","Awaiting loaded V + R or measured I")))))</x:f>
        <x:v>Awaiting raw observation</x:v>
      </x:c>
    </x:row>
    <x:row r="19">
      <x:c r="A19" s="31" t="str">
        <x:f>IF('Raw Measurements'!A19="","",'Raw Measurements'!A19)</x:f>
      </x:c>
      <x:c r="B19" s="31" t="str">
        <x:f>IF('Raw Measurements'!A19="","",'Raw Measurements'!B19)</x:f>
      </x:c>
      <x:c r="C19" s="31" t="str">
        <x:f>IF('Raw Measurements'!A19="","",'Raw Measurements'!C19)</x:f>
      </x:c>
      <x:c r="D19" s="31" t="str">
        <x:f>IF('Raw Measurements'!A19="","",'Raw Measurements'!E19)</x:f>
      </x:c>
      <x:c r="E19" s="31" t="str">
        <x:f>IF('Raw Measurements'!A19="","",'Raw Measurements'!G19)</x:f>
      </x:c>
      <x:c r="F19" s="31" t="str">
        <x:f>IF('Raw Measurements'!A19="","",'Raw Measurements'!J19)</x:f>
      </x:c>
      <x:c r="G19" s="34" t="str">
        <x:f>IF(OR('Raw Measurements'!J19&lt;&gt;"Loaded",'Raw Measurements'!K19=""),"",'Raw Measurements'!K19/1000)</x:f>
      </x:c>
      <x:c r="H19" s="34" t="str">
        <x:f>IF('Raw Measurements'!J19&lt;&gt;"Loaded","",IF('Raw Measurements'!N19&lt;&gt;"",'Raw Measurements'!N19,IF(AND('Raw Measurements'!K19&lt;&gt;"",'Raw Measurements'!M19&gt;0),'Raw Measurements'!K19/'Raw Measurements'!M19,"")))</x:f>
      </x:c>
      <x:c r="I19" s="34" t="str">
        <x:f>IF(OR(G19="",H19=""),"",G19*H19)</x:f>
      </x:c>
      <x:c r="J19" s="34" t="str">
        <x:f>IF('Experiment Metadata'!B30="","",'Experiment Metadata'!B30)</x:f>
      </x:c>
      <x:c r="K19" s="34" t="str">
        <x:f>IF(OR(I19="",J19="",J19&lt;=0),"",I19*10000/J19)</x:f>
      </x:c>
      <x:c r="L19" s="34" t="str">
        <x:f>IF(OR('Raw Measurements'!X19="",'Raw Measurements'!Y19="",'Raw Measurements'!X19&lt;=0),"",('Raw Measurements'!X19-'Raw Measurements'!Y19)/'Raw Measurements'!X19*100)</x:f>
      </x:c>
      <x:c r="M19" s="34" t="str">
        <x:f>IF(OR(A19="",A18="",I19="",I18="",C19&lt;&gt;C18,D19&lt;&gt;D18,E19&lt;=E18),"",(I19+I18)/2*(E19-E18))</x:f>
      </x:c>
      <x:c r="N19" s="31" t="str">
        <x:f>IF(A19="","Awaiting raw observation",IF(F19="Open circuit","OCV only - no external power",IF(F19="Short circuit","Treatment state - no external power",IF(F19&lt;&gt;"Loaded","Stored separately",IF(AND(G19&lt;&gt;"",H19&lt;&gt;""),"Calculated from compatible loaded data","Awaiting loaded V + R or measured I")))))</x:f>
        <x:v>Awaiting raw observation</x:v>
      </x:c>
    </x:row>
    <x:row r="20">
      <x:c r="A20" s="31" t="str">
        <x:f>IF('Raw Measurements'!A20="","",'Raw Measurements'!A20)</x:f>
      </x:c>
      <x:c r="B20" s="31" t="str">
        <x:f>IF('Raw Measurements'!A20="","",'Raw Measurements'!B20)</x:f>
      </x:c>
      <x:c r="C20" s="31" t="str">
        <x:f>IF('Raw Measurements'!A20="","",'Raw Measurements'!C20)</x:f>
      </x:c>
      <x:c r="D20" s="31" t="str">
        <x:f>IF('Raw Measurements'!A20="","",'Raw Measurements'!E20)</x:f>
      </x:c>
      <x:c r="E20" s="31" t="str">
        <x:f>IF('Raw Measurements'!A20="","",'Raw Measurements'!G20)</x:f>
      </x:c>
      <x:c r="F20" s="31" t="str">
        <x:f>IF('Raw Measurements'!A20="","",'Raw Measurements'!J20)</x:f>
      </x:c>
      <x:c r="G20" s="34" t="str">
        <x:f>IF(OR('Raw Measurements'!J20&lt;&gt;"Loaded",'Raw Measurements'!K20=""),"",'Raw Measurements'!K20/1000)</x:f>
      </x:c>
      <x:c r="H20" s="34" t="str">
        <x:f>IF('Raw Measurements'!J20&lt;&gt;"Loaded","",IF('Raw Measurements'!N20&lt;&gt;"",'Raw Measurements'!N20,IF(AND('Raw Measurements'!K20&lt;&gt;"",'Raw Measurements'!M20&gt;0),'Raw Measurements'!K20/'Raw Measurements'!M20,"")))</x:f>
      </x:c>
      <x:c r="I20" s="34" t="str">
        <x:f>IF(OR(G20="",H20=""),"",G20*H20)</x:f>
      </x:c>
      <x:c r="J20" s="34" t="str">
        <x:f>IF('Experiment Metadata'!B30="","",'Experiment Metadata'!B30)</x:f>
      </x:c>
      <x:c r="K20" s="34" t="str">
        <x:f>IF(OR(I20="",J20="",J20&lt;=0),"",I20*10000/J20)</x:f>
      </x:c>
      <x:c r="L20" s="34" t="str">
        <x:f>IF(OR('Raw Measurements'!X20="",'Raw Measurements'!Y20="",'Raw Measurements'!X20&lt;=0),"",('Raw Measurements'!X20-'Raw Measurements'!Y20)/'Raw Measurements'!X20*100)</x:f>
      </x:c>
      <x:c r="M20" s="34" t="str">
        <x:f>IF(OR(A20="",A19="",I20="",I19="",C20&lt;&gt;C19,D20&lt;&gt;D19,E20&lt;=E19),"",(I20+I19)/2*(E20-E19))</x:f>
      </x:c>
      <x:c r="N20" s="31" t="str">
        <x:f>IF(A20="","Awaiting raw observation",IF(F20="Open circuit","OCV only - no external power",IF(F20="Short circuit","Treatment state - no external power",IF(F20&lt;&gt;"Loaded","Stored separately",IF(AND(G20&lt;&gt;"",H20&lt;&gt;""),"Calculated from compatible loaded data","Awaiting loaded V + R or measured I")))))</x:f>
        <x:v>Awaiting raw observation</x:v>
      </x:c>
    </x:row>
    <x:row r="21">
      <x:c r="A21" s="31" t="str">
        <x:f>IF('Raw Measurements'!A21="","",'Raw Measurements'!A21)</x:f>
      </x:c>
      <x:c r="B21" s="31" t="str">
        <x:f>IF('Raw Measurements'!A21="","",'Raw Measurements'!B21)</x:f>
      </x:c>
      <x:c r="C21" s="31" t="str">
        <x:f>IF('Raw Measurements'!A21="","",'Raw Measurements'!C21)</x:f>
      </x:c>
      <x:c r="D21" s="31" t="str">
        <x:f>IF('Raw Measurements'!A21="","",'Raw Measurements'!E21)</x:f>
      </x:c>
      <x:c r="E21" s="31" t="str">
        <x:f>IF('Raw Measurements'!A21="","",'Raw Measurements'!G21)</x:f>
      </x:c>
      <x:c r="F21" s="31" t="str">
        <x:f>IF('Raw Measurements'!A21="","",'Raw Measurements'!J21)</x:f>
      </x:c>
      <x:c r="G21" s="34" t="str">
        <x:f>IF(OR('Raw Measurements'!J21&lt;&gt;"Loaded",'Raw Measurements'!K21=""),"",'Raw Measurements'!K21/1000)</x:f>
      </x:c>
      <x:c r="H21" s="34" t="str">
        <x:f>IF('Raw Measurements'!J21&lt;&gt;"Loaded","",IF('Raw Measurements'!N21&lt;&gt;"",'Raw Measurements'!N21,IF(AND('Raw Measurements'!K21&lt;&gt;"",'Raw Measurements'!M21&gt;0),'Raw Measurements'!K21/'Raw Measurements'!M21,"")))</x:f>
      </x:c>
      <x:c r="I21" s="34" t="str">
        <x:f>IF(OR(G21="",H21=""),"",G21*H21)</x:f>
      </x:c>
      <x:c r="J21" s="34" t="str">
        <x:f>IF('Experiment Metadata'!B30="","",'Experiment Metadata'!B30)</x:f>
      </x:c>
      <x:c r="K21" s="34" t="str">
        <x:f>IF(OR(I21="",J21="",J21&lt;=0),"",I21*10000/J21)</x:f>
      </x:c>
      <x:c r="L21" s="34" t="str">
        <x:f>IF(OR('Raw Measurements'!X21="",'Raw Measurements'!Y21="",'Raw Measurements'!X21&lt;=0),"",('Raw Measurements'!X21-'Raw Measurements'!Y21)/'Raw Measurements'!X21*100)</x:f>
      </x:c>
      <x:c r="M21" s="34" t="str">
        <x:f>IF(OR(A21="",A20="",I21="",I20="",C21&lt;&gt;C20,D21&lt;&gt;D20,E21&lt;=E20),"",(I21+I20)/2*(E21-E20))</x:f>
      </x:c>
      <x:c r="N21" s="31" t="str">
        <x:f>IF(A21="","Awaiting raw observation",IF(F21="Open circuit","OCV only - no external power",IF(F21="Short circuit","Treatment state - no external power",IF(F21&lt;&gt;"Loaded","Stored separately",IF(AND(G21&lt;&gt;"",H21&lt;&gt;""),"Calculated from compatible loaded data","Awaiting loaded V + R or measured I")))))</x:f>
        <x:v>Awaiting raw observation</x:v>
      </x:c>
    </x:row>
    <x:row r="22">
      <x:c r="A22" s="31" t="str">
        <x:f>IF('Raw Measurements'!A22="","",'Raw Measurements'!A22)</x:f>
      </x:c>
      <x:c r="B22" s="31" t="str">
        <x:f>IF('Raw Measurements'!A22="","",'Raw Measurements'!B22)</x:f>
      </x:c>
      <x:c r="C22" s="31" t="str">
        <x:f>IF('Raw Measurements'!A22="","",'Raw Measurements'!C22)</x:f>
      </x:c>
      <x:c r="D22" s="31" t="str">
        <x:f>IF('Raw Measurements'!A22="","",'Raw Measurements'!E22)</x:f>
      </x:c>
      <x:c r="E22" s="31" t="str">
        <x:f>IF('Raw Measurements'!A22="","",'Raw Measurements'!G22)</x:f>
      </x:c>
      <x:c r="F22" s="31" t="str">
        <x:f>IF('Raw Measurements'!A22="","",'Raw Measurements'!J22)</x:f>
      </x:c>
      <x:c r="G22" s="34" t="str">
        <x:f>IF(OR('Raw Measurements'!J22&lt;&gt;"Loaded",'Raw Measurements'!K22=""),"",'Raw Measurements'!K22/1000)</x:f>
      </x:c>
      <x:c r="H22" s="34" t="str">
        <x:f>IF('Raw Measurements'!J22&lt;&gt;"Loaded","",IF('Raw Measurements'!N22&lt;&gt;"",'Raw Measurements'!N22,IF(AND('Raw Measurements'!K22&lt;&gt;"",'Raw Measurements'!M22&gt;0),'Raw Measurements'!K22/'Raw Measurements'!M22,"")))</x:f>
      </x:c>
      <x:c r="I22" s="34" t="str">
        <x:f>IF(OR(G22="",H22=""),"",G22*H22)</x:f>
      </x:c>
      <x:c r="J22" s="34" t="str">
        <x:f>IF('Experiment Metadata'!B30="","",'Experiment Metadata'!B30)</x:f>
      </x:c>
      <x:c r="K22" s="34" t="str">
        <x:f>IF(OR(I22="",J22="",J22&lt;=0),"",I22*10000/J22)</x:f>
      </x:c>
      <x:c r="L22" s="34" t="str">
        <x:f>IF(OR('Raw Measurements'!X22="",'Raw Measurements'!Y22="",'Raw Measurements'!X22&lt;=0),"",('Raw Measurements'!X22-'Raw Measurements'!Y22)/'Raw Measurements'!X22*100)</x:f>
      </x:c>
      <x:c r="M22" s="34" t="str">
        <x:f>IF(OR(A22="",A21="",I22="",I21="",C22&lt;&gt;C21,D22&lt;&gt;D21,E22&lt;=E21),"",(I22+I21)/2*(E22-E21))</x:f>
      </x:c>
      <x:c r="N22" s="31" t="str">
        <x:f>IF(A22="","Awaiting raw observation",IF(F22="Open circuit","OCV only - no external power",IF(F22="Short circuit","Treatment state - no external power",IF(F22&lt;&gt;"Loaded","Stored separately",IF(AND(G22&lt;&gt;"",H22&lt;&gt;""),"Calculated from compatible loaded data","Awaiting loaded V + R or measured I")))))</x:f>
        <x:v>Awaiting raw observation</x:v>
      </x:c>
    </x:row>
    <x:row r="23">
      <x:c r="A23" s="31" t="str">
        <x:f>IF('Raw Measurements'!A23="","",'Raw Measurements'!A23)</x:f>
      </x:c>
      <x:c r="B23" s="31" t="str">
        <x:f>IF('Raw Measurements'!A23="","",'Raw Measurements'!B23)</x:f>
      </x:c>
      <x:c r="C23" s="31" t="str">
        <x:f>IF('Raw Measurements'!A23="","",'Raw Measurements'!C23)</x:f>
      </x:c>
      <x:c r="D23" s="31" t="str">
        <x:f>IF('Raw Measurements'!A23="","",'Raw Measurements'!E23)</x:f>
      </x:c>
      <x:c r="E23" s="31" t="str">
        <x:f>IF('Raw Measurements'!A23="","",'Raw Measurements'!G23)</x:f>
      </x:c>
      <x:c r="F23" s="31" t="str">
        <x:f>IF('Raw Measurements'!A23="","",'Raw Measurements'!J23)</x:f>
      </x:c>
      <x:c r="G23" s="34" t="str">
        <x:f>IF(OR('Raw Measurements'!J23&lt;&gt;"Loaded",'Raw Measurements'!K23=""),"",'Raw Measurements'!K23/1000)</x:f>
      </x:c>
      <x:c r="H23" s="34" t="str">
        <x:f>IF('Raw Measurements'!J23&lt;&gt;"Loaded","",IF('Raw Measurements'!N23&lt;&gt;"",'Raw Measurements'!N23,IF(AND('Raw Measurements'!K23&lt;&gt;"",'Raw Measurements'!M23&gt;0),'Raw Measurements'!K23/'Raw Measurements'!M23,"")))</x:f>
      </x:c>
      <x:c r="I23" s="34" t="str">
        <x:f>IF(OR(G23="",H23=""),"",G23*H23)</x:f>
      </x:c>
      <x:c r="J23" s="34" t="str">
        <x:f>IF('Experiment Metadata'!B30="","",'Experiment Metadata'!B30)</x:f>
      </x:c>
      <x:c r="K23" s="34" t="str">
        <x:f>IF(OR(I23="",J23="",J23&lt;=0),"",I23*10000/J23)</x:f>
      </x:c>
      <x:c r="L23" s="34" t="str">
        <x:f>IF(OR('Raw Measurements'!X23="",'Raw Measurements'!Y23="",'Raw Measurements'!X23&lt;=0),"",('Raw Measurements'!X23-'Raw Measurements'!Y23)/'Raw Measurements'!X23*100)</x:f>
      </x:c>
      <x:c r="M23" s="34" t="str">
        <x:f>IF(OR(A23="",A22="",I23="",I22="",C23&lt;&gt;C22,D23&lt;&gt;D22,E23&lt;=E22),"",(I23+I22)/2*(E23-E22))</x:f>
      </x:c>
      <x:c r="N23" s="31" t="str">
        <x:f>IF(A23="","Awaiting raw observation",IF(F23="Open circuit","OCV only - no external power",IF(F23="Short circuit","Treatment state - no external power",IF(F23&lt;&gt;"Loaded","Stored separately",IF(AND(G23&lt;&gt;"",H23&lt;&gt;""),"Calculated from compatible loaded data","Awaiting loaded V + R or measured I")))))</x:f>
        <x:v>Awaiting raw observation</x:v>
      </x:c>
    </x:row>
    <x:row r="24">
      <x:c r="A24" s="31" t="str">
        <x:f>IF('Raw Measurements'!A24="","",'Raw Measurements'!A24)</x:f>
      </x:c>
      <x:c r="B24" s="31" t="str">
        <x:f>IF('Raw Measurements'!A24="","",'Raw Measurements'!B24)</x:f>
      </x:c>
      <x:c r="C24" s="31" t="str">
        <x:f>IF('Raw Measurements'!A24="","",'Raw Measurements'!C24)</x:f>
      </x:c>
      <x:c r="D24" s="31" t="str">
        <x:f>IF('Raw Measurements'!A24="","",'Raw Measurements'!E24)</x:f>
      </x:c>
      <x:c r="E24" s="31" t="str">
        <x:f>IF('Raw Measurements'!A24="","",'Raw Measurements'!G24)</x:f>
      </x:c>
      <x:c r="F24" s="31" t="str">
        <x:f>IF('Raw Measurements'!A24="","",'Raw Measurements'!J24)</x:f>
      </x:c>
      <x:c r="G24" s="34" t="str">
        <x:f>IF(OR('Raw Measurements'!J24&lt;&gt;"Loaded",'Raw Measurements'!K24=""),"",'Raw Measurements'!K24/1000)</x:f>
      </x:c>
      <x:c r="H24" s="34" t="str">
        <x:f>IF('Raw Measurements'!J24&lt;&gt;"Loaded","",IF('Raw Measurements'!N24&lt;&gt;"",'Raw Measurements'!N24,IF(AND('Raw Measurements'!K24&lt;&gt;"",'Raw Measurements'!M24&gt;0),'Raw Measurements'!K24/'Raw Measurements'!M24,"")))</x:f>
      </x:c>
      <x:c r="I24" s="34" t="str">
        <x:f>IF(OR(G24="",H24=""),"",G24*H24)</x:f>
      </x:c>
      <x:c r="J24" s="34" t="str">
        <x:f>IF('Experiment Metadata'!B30="","",'Experiment Metadata'!B30)</x:f>
      </x:c>
      <x:c r="K24" s="34" t="str">
        <x:f>IF(OR(I24="",J24="",J24&lt;=0),"",I24*10000/J24)</x:f>
      </x:c>
      <x:c r="L24" s="34" t="str">
        <x:f>IF(OR('Raw Measurements'!X24="",'Raw Measurements'!Y24="",'Raw Measurements'!X24&lt;=0),"",('Raw Measurements'!X24-'Raw Measurements'!Y24)/'Raw Measurements'!X24*100)</x:f>
      </x:c>
      <x:c r="M24" s="34" t="str">
        <x:f>IF(OR(A24="",A23="",I24="",I23="",C24&lt;&gt;C23,D24&lt;&gt;D23,E24&lt;=E23),"",(I24+I23)/2*(E24-E23))</x:f>
      </x:c>
      <x:c r="N24" s="31" t="str">
        <x:f>IF(A24="","Awaiting raw observation",IF(F24="Open circuit","OCV only - no external power",IF(F24="Short circuit","Treatment state - no external power",IF(F24&lt;&gt;"Loaded","Stored separately",IF(AND(G24&lt;&gt;"",H24&lt;&gt;""),"Calculated from compatible loaded data","Awaiting loaded V + R or measured I")))))</x:f>
        <x:v>Awaiting raw observation</x:v>
      </x:c>
    </x:row>
    <x:row r="25">
      <x:c r="A25" s="31" t="str">
        <x:f>IF('Raw Measurements'!A25="","",'Raw Measurements'!A25)</x:f>
      </x:c>
      <x:c r="B25" s="31" t="str">
        <x:f>IF('Raw Measurements'!A25="","",'Raw Measurements'!B25)</x:f>
      </x:c>
      <x:c r="C25" s="31" t="str">
        <x:f>IF('Raw Measurements'!A25="","",'Raw Measurements'!C25)</x:f>
      </x:c>
      <x:c r="D25" s="31" t="str">
        <x:f>IF('Raw Measurements'!A25="","",'Raw Measurements'!E25)</x:f>
      </x:c>
      <x:c r="E25" s="31" t="str">
        <x:f>IF('Raw Measurements'!A25="","",'Raw Measurements'!G25)</x:f>
      </x:c>
      <x:c r="F25" s="31" t="str">
        <x:f>IF('Raw Measurements'!A25="","",'Raw Measurements'!J25)</x:f>
      </x:c>
      <x:c r="G25" s="34" t="str">
        <x:f>IF(OR('Raw Measurements'!J25&lt;&gt;"Loaded",'Raw Measurements'!K25=""),"",'Raw Measurements'!K25/1000)</x:f>
      </x:c>
      <x:c r="H25" s="34" t="str">
        <x:f>IF('Raw Measurements'!J25&lt;&gt;"Loaded","",IF('Raw Measurements'!N25&lt;&gt;"",'Raw Measurements'!N25,IF(AND('Raw Measurements'!K25&lt;&gt;"",'Raw Measurements'!M25&gt;0),'Raw Measurements'!K25/'Raw Measurements'!M25,"")))</x:f>
      </x:c>
      <x:c r="I25" s="34" t="str">
        <x:f>IF(OR(G25="",H25=""),"",G25*H25)</x:f>
      </x:c>
      <x:c r="J25" s="34" t="str">
        <x:f>IF('Experiment Metadata'!B30="","",'Experiment Metadata'!B30)</x:f>
      </x:c>
      <x:c r="K25" s="34" t="str">
        <x:f>IF(OR(I25="",J25="",J25&lt;=0),"",I25*10000/J25)</x:f>
      </x:c>
      <x:c r="L25" s="34" t="str">
        <x:f>IF(OR('Raw Measurements'!X25="",'Raw Measurements'!Y25="",'Raw Measurements'!X25&lt;=0),"",('Raw Measurements'!X25-'Raw Measurements'!Y25)/'Raw Measurements'!X25*100)</x:f>
      </x:c>
      <x:c r="M25" s="34" t="str">
        <x:f>IF(OR(A25="",A24="",I25="",I24="",C25&lt;&gt;C24,D25&lt;&gt;D24,E25&lt;=E24),"",(I25+I24)/2*(E25-E24))</x:f>
      </x:c>
      <x:c r="N25" s="31" t="str">
        <x:f>IF(A25="","Awaiting raw observation",IF(F25="Open circuit","OCV only - no external power",IF(F25="Short circuit","Treatment state - no external power",IF(F25&lt;&gt;"Loaded","Stored separately",IF(AND(G25&lt;&gt;"",H25&lt;&gt;""),"Calculated from compatible loaded data","Awaiting loaded V + R or measured I")))))</x:f>
        <x:v>Awaiting raw observation</x:v>
      </x:c>
    </x:row>
    <x:row r="26">
      <x:c r="A26" s="31" t="str">
        <x:f>IF('Raw Measurements'!A26="","",'Raw Measurements'!A26)</x:f>
      </x:c>
      <x:c r="B26" s="31" t="str">
        <x:f>IF('Raw Measurements'!A26="","",'Raw Measurements'!B26)</x:f>
      </x:c>
      <x:c r="C26" s="31" t="str">
        <x:f>IF('Raw Measurements'!A26="","",'Raw Measurements'!C26)</x:f>
      </x:c>
      <x:c r="D26" s="31" t="str">
        <x:f>IF('Raw Measurements'!A26="","",'Raw Measurements'!E26)</x:f>
      </x:c>
      <x:c r="E26" s="31" t="str">
        <x:f>IF('Raw Measurements'!A26="","",'Raw Measurements'!G26)</x:f>
      </x:c>
      <x:c r="F26" s="31" t="str">
        <x:f>IF('Raw Measurements'!A26="","",'Raw Measurements'!J26)</x:f>
      </x:c>
      <x:c r="G26" s="34" t="str">
        <x:f>IF(OR('Raw Measurements'!J26&lt;&gt;"Loaded",'Raw Measurements'!K26=""),"",'Raw Measurements'!K26/1000)</x:f>
      </x:c>
      <x:c r="H26" s="34" t="str">
        <x:f>IF('Raw Measurements'!J26&lt;&gt;"Loaded","",IF('Raw Measurements'!N26&lt;&gt;"",'Raw Measurements'!N26,IF(AND('Raw Measurements'!K26&lt;&gt;"",'Raw Measurements'!M26&gt;0),'Raw Measurements'!K26/'Raw Measurements'!M26,"")))</x:f>
      </x:c>
      <x:c r="I26" s="34" t="str">
        <x:f>IF(OR(G26="",H26=""),"",G26*H26)</x:f>
      </x:c>
      <x:c r="J26" s="34" t="str">
        <x:f>IF('Experiment Metadata'!B30="","",'Experiment Metadata'!B30)</x:f>
      </x:c>
      <x:c r="K26" s="34" t="str">
        <x:f>IF(OR(I26="",J26="",J26&lt;=0),"",I26*10000/J26)</x:f>
      </x:c>
      <x:c r="L26" s="34" t="str">
        <x:f>IF(OR('Raw Measurements'!X26="",'Raw Measurements'!Y26="",'Raw Measurements'!X26&lt;=0),"",('Raw Measurements'!X26-'Raw Measurements'!Y26)/'Raw Measurements'!X26*100)</x:f>
      </x:c>
      <x:c r="M26" s="34" t="str">
        <x:f>IF(OR(A26="",A25="",I26="",I25="",C26&lt;&gt;C25,D26&lt;&gt;D25,E26&lt;=E25),"",(I26+I25)/2*(E26-E25))</x:f>
      </x:c>
      <x:c r="N26" s="31" t="str">
        <x:f>IF(A26="","Awaiting raw observation",IF(F26="Open circuit","OCV only - no external power",IF(F26="Short circuit","Treatment state - no external power",IF(F26&lt;&gt;"Loaded","Stored separately",IF(AND(G26&lt;&gt;"",H26&lt;&gt;""),"Calculated from compatible loaded data","Awaiting loaded V + R or measured I")))))</x:f>
        <x:v>Awaiting raw observation</x:v>
      </x:c>
    </x:row>
    <x:row r="27">
      <x:c r="A27" s="31" t="str">
        <x:f>IF('Raw Measurements'!A27="","",'Raw Measurements'!A27)</x:f>
      </x:c>
      <x:c r="B27" s="31" t="str">
        <x:f>IF('Raw Measurements'!A27="","",'Raw Measurements'!B27)</x:f>
      </x:c>
      <x:c r="C27" s="31" t="str">
        <x:f>IF('Raw Measurements'!A27="","",'Raw Measurements'!C27)</x:f>
      </x:c>
      <x:c r="D27" s="31" t="str">
        <x:f>IF('Raw Measurements'!A27="","",'Raw Measurements'!E27)</x:f>
      </x:c>
      <x:c r="E27" s="31" t="str">
        <x:f>IF('Raw Measurements'!A27="","",'Raw Measurements'!G27)</x:f>
      </x:c>
      <x:c r="F27" s="31" t="str">
        <x:f>IF('Raw Measurements'!A27="","",'Raw Measurements'!J27)</x:f>
      </x:c>
      <x:c r="G27" s="34" t="str">
        <x:f>IF(OR('Raw Measurements'!J27&lt;&gt;"Loaded",'Raw Measurements'!K27=""),"",'Raw Measurements'!K27/1000)</x:f>
      </x:c>
      <x:c r="H27" s="34" t="str">
        <x:f>IF('Raw Measurements'!J27&lt;&gt;"Loaded","",IF('Raw Measurements'!N27&lt;&gt;"",'Raw Measurements'!N27,IF(AND('Raw Measurements'!K27&lt;&gt;"",'Raw Measurements'!M27&gt;0),'Raw Measurements'!K27/'Raw Measurements'!M27,"")))</x:f>
      </x:c>
      <x:c r="I27" s="34" t="str">
        <x:f>IF(OR(G27="",H27=""),"",G27*H27)</x:f>
      </x:c>
      <x:c r="J27" s="34" t="str">
        <x:f>IF('Experiment Metadata'!B30="","",'Experiment Metadata'!B30)</x:f>
      </x:c>
      <x:c r="K27" s="34" t="str">
        <x:f>IF(OR(I27="",J27="",J27&lt;=0),"",I27*10000/J27)</x:f>
      </x:c>
      <x:c r="L27" s="34" t="str">
        <x:f>IF(OR('Raw Measurements'!X27="",'Raw Measurements'!Y27="",'Raw Measurements'!X27&lt;=0),"",('Raw Measurements'!X27-'Raw Measurements'!Y27)/'Raw Measurements'!X27*100)</x:f>
      </x:c>
      <x:c r="M27" s="34" t="str">
        <x:f>IF(OR(A27="",A26="",I27="",I26="",C27&lt;&gt;C26,D27&lt;&gt;D26,E27&lt;=E26),"",(I27+I26)/2*(E27-E26))</x:f>
      </x:c>
      <x:c r="N27" s="31" t="str">
        <x:f>IF(A27="","Awaiting raw observation",IF(F27="Open circuit","OCV only - no external power",IF(F27="Short circuit","Treatment state - no external power",IF(F27&lt;&gt;"Loaded","Stored separately",IF(AND(G27&lt;&gt;"",H27&lt;&gt;""),"Calculated from compatible loaded data","Awaiting loaded V + R or measured I")))))</x:f>
        <x:v>Awaiting raw observation</x:v>
      </x:c>
    </x:row>
    <x:row r="28">
      <x:c r="A28" s="31" t="str">
        <x:f>IF('Raw Measurements'!A28="","",'Raw Measurements'!A28)</x:f>
      </x:c>
      <x:c r="B28" s="31" t="str">
        <x:f>IF('Raw Measurements'!A28="","",'Raw Measurements'!B28)</x:f>
      </x:c>
      <x:c r="C28" s="31" t="str">
        <x:f>IF('Raw Measurements'!A28="","",'Raw Measurements'!C28)</x:f>
      </x:c>
      <x:c r="D28" s="31" t="str">
        <x:f>IF('Raw Measurements'!A28="","",'Raw Measurements'!E28)</x:f>
      </x:c>
      <x:c r="E28" s="31" t="str">
        <x:f>IF('Raw Measurements'!A28="","",'Raw Measurements'!G28)</x:f>
      </x:c>
      <x:c r="F28" s="31" t="str">
        <x:f>IF('Raw Measurements'!A28="","",'Raw Measurements'!J28)</x:f>
      </x:c>
      <x:c r="G28" s="34" t="str">
        <x:f>IF(OR('Raw Measurements'!J28&lt;&gt;"Loaded",'Raw Measurements'!K28=""),"",'Raw Measurements'!K28/1000)</x:f>
      </x:c>
      <x:c r="H28" s="34" t="str">
        <x:f>IF('Raw Measurements'!J28&lt;&gt;"Loaded","",IF('Raw Measurements'!N28&lt;&gt;"",'Raw Measurements'!N28,IF(AND('Raw Measurements'!K28&lt;&gt;"",'Raw Measurements'!M28&gt;0),'Raw Measurements'!K28/'Raw Measurements'!M28,"")))</x:f>
      </x:c>
      <x:c r="I28" s="34" t="str">
        <x:f>IF(OR(G28="",H28=""),"",G28*H28)</x:f>
      </x:c>
      <x:c r="J28" s="34" t="str">
        <x:f>IF('Experiment Metadata'!B30="","",'Experiment Metadata'!B30)</x:f>
      </x:c>
      <x:c r="K28" s="34" t="str">
        <x:f>IF(OR(I28="",J28="",J28&lt;=0),"",I28*10000/J28)</x:f>
      </x:c>
      <x:c r="L28" s="34" t="str">
        <x:f>IF(OR('Raw Measurements'!X28="",'Raw Measurements'!Y28="",'Raw Measurements'!X28&lt;=0),"",('Raw Measurements'!X28-'Raw Measurements'!Y28)/'Raw Measurements'!X28*100)</x:f>
      </x:c>
      <x:c r="M28" s="34" t="str">
        <x:f>IF(OR(A28="",A27="",I28="",I27="",C28&lt;&gt;C27,D28&lt;&gt;D27,E28&lt;=E27),"",(I28+I27)/2*(E28-E27))</x:f>
      </x:c>
      <x:c r="N28" s="31" t="str">
        <x:f>IF(A28="","Awaiting raw observation",IF(F28="Open circuit","OCV only - no external power",IF(F28="Short circuit","Treatment state - no external power",IF(F28&lt;&gt;"Loaded","Stored separately",IF(AND(G28&lt;&gt;"",H28&lt;&gt;""),"Calculated from compatible loaded data","Awaiting loaded V + R or measured I")))))</x:f>
        <x:v>Awaiting raw observation</x:v>
      </x:c>
    </x:row>
    <x:row r="29">
      <x:c r="A29" s="31" t="str">
        <x:f>IF('Raw Measurements'!A29="","",'Raw Measurements'!A29)</x:f>
      </x:c>
      <x:c r="B29" s="31" t="str">
        <x:f>IF('Raw Measurements'!A29="","",'Raw Measurements'!B29)</x:f>
      </x:c>
      <x:c r="C29" s="31" t="str">
        <x:f>IF('Raw Measurements'!A29="","",'Raw Measurements'!C29)</x:f>
      </x:c>
      <x:c r="D29" s="31" t="str">
        <x:f>IF('Raw Measurements'!A29="","",'Raw Measurements'!E29)</x:f>
      </x:c>
      <x:c r="E29" s="31" t="str">
        <x:f>IF('Raw Measurements'!A29="","",'Raw Measurements'!G29)</x:f>
      </x:c>
      <x:c r="F29" s="31" t="str">
        <x:f>IF('Raw Measurements'!A29="","",'Raw Measurements'!J29)</x:f>
      </x:c>
      <x:c r="G29" s="34" t="str">
        <x:f>IF(OR('Raw Measurements'!J29&lt;&gt;"Loaded",'Raw Measurements'!K29=""),"",'Raw Measurements'!K29/1000)</x:f>
      </x:c>
      <x:c r="H29" s="34" t="str">
        <x:f>IF('Raw Measurements'!J29&lt;&gt;"Loaded","",IF('Raw Measurements'!N29&lt;&gt;"",'Raw Measurements'!N29,IF(AND('Raw Measurements'!K29&lt;&gt;"",'Raw Measurements'!M29&gt;0),'Raw Measurements'!K29/'Raw Measurements'!M29,"")))</x:f>
      </x:c>
      <x:c r="I29" s="34" t="str">
        <x:f>IF(OR(G29="",H29=""),"",G29*H29)</x:f>
      </x:c>
      <x:c r="J29" s="34" t="str">
        <x:f>IF('Experiment Metadata'!B30="","",'Experiment Metadata'!B30)</x:f>
      </x:c>
      <x:c r="K29" s="34" t="str">
        <x:f>IF(OR(I29="",J29="",J29&lt;=0),"",I29*10000/J29)</x:f>
      </x:c>
      <x:c r="L29" s="34" t="str">
        <x:f>IF(OR('Raw Measurements'!X29="",'Raw Measurements'!Y29="",'Raw Measurements'!X29&lt;=0),"",('Raw Measurements'!X29-'Raw Measurements'!Y29)/'Raw Measurements'!X29*100)</x:f>
      </x:c>
      <x:c r="M29" s="34" t="str">
        <x:f>IF(OR(A29="",A28="",I29="",I28="",C29&lt;&gt;C28,D29&lt;&gt;D28,E29&lt;=E28),"",(I29+I28)/2*(E29-E28))</x:f>
      </x:c>
      <x:c r="N29" s="31" t="str">
        <x:f>IF(A29="","Awaiting raw observation",IF(F29="Open circuit","OCV only - no external power",IF(F29="Short circuit","Treatment state - no external power",IF(F29&lt;&gt;"Loaded","Stored separately",IF(AND(G29&lt;&gt;"",H29&lt;&gt;""),"Calculated from compatible loaded data","Awaiting loaded V + R or measured I")))))</x:f>
        <x:v>Awaiting raw observation</x:v>
      </x:c>
    </x:row>
    <x:row r="30">
      <x:c r="A30" s="31" t="str">
        <x:f>IF('Raw Measurements'!A30="","",'Raw Measurements'!A30)</x:f>
      </x:c>
      <x:c r="B30" s="31" t="str">
        <x:f>IF('Raw Measurements'!A30="","",'Raw Measurements'!B30)</x:f>
      </x:c>
      <x:c r="C30" s="31" t="str">
        <x:f>IF('Raw Measurements'!A30="","",'Raw Measurements'!C30)</x:f>
      </x:c>
      <x:c r="D30" s="31" t="str">
        <x:f>IF('Raw Measurements'!A30="","",'Raw Measurements'!E30)</x:f>
      </x:c>
      <x:c r="E30" s="31" t="str">
        <x:f>IF('Raw Measurements'!A30="","",'Raw Measurements'!G30)</x:f>
      </x:c>
      <x:c r="F30" s="31" t="str">
        <x:f>IF('Raw Measurements'!A30="","",'Raw Measurements'!J30)</x:f>
      </x:c>
      <x:c r="G30" s="34" t="str">
        <x:f>IF(OR('Raw Measurements'!J30&lt;&gt;"Loaded",'Raw Measurements'!K30=""),"",'Raw Measurements'!K30/1000)</x:f>
      </x:c>
      <x:c r="H30" s="34" t="str">
        <x:f>IF('Raw Measurements'!J30&lt;&gt;"Loaded","",IF('Raw Measurements'!N30&lt;&gt;"",'Raw Measurements'!N30,IF(AND('Raw Measurements'!K30&lt;&gt;"",'Raw Measurements'!M30&gt;0),'Raw Measurements'!K30/'Raw Measurements'!M30,"")))</x:f>
      </x:c>
      <x:c r="I30" s="34" t="str">
        <x:f>IF(OR(G30="",H30=""),"",G30*H30)</x:f>
      </x:c>
      <x:c r="J30" s="34" t="str">
        <x:f>IF('Experiment Metadata'!B30="","",'Experiment Metadata'!B30)</x:f>
      </x:c>
      <x:c r="K30" s="34" t="str">
        <x:f>IF(OR(I30="",J30="",J30&lt;=0),"",I30*10000/J30)</x:f>
      </x:c>
      <x:c r="L30" s="34" t="str">
        <x:f>IF(OR('Raw Measurements'!X30="",'Raw Measurements'!Y30="",'Raw Measurements'!X30&lt;=0),"",('Raw Measurements'!X30-'Raw Measurements'!Y30)/'Raw Measurements'!X30*100)</x:f>
      </x:c>
      <x:c r="M30" s="34" t="str">
        <x:f>IF(OR(A30="",A29="",I30="",I29="",C30&lt;&gt;C29,D30&lt;&gt;D29,E30&lt;=E29),"",(I30+I29)/2*(E30-E29))</x:f>
      </x:c>
      <x:c r="N30" s="31" t="str">
        <x:f>IF(A30="","Awaiting raw observation",IF(F30="Open circuit","OCV only - no external power",IF(F30="Short circuit","Treatment state - no external power",IF(F30&lt;&gt;"Loaded","Stored separately",IF(AND(G30&lt;&gt;"",H30&lt;&gt;""),"Calculated from compatible loaded data","Awaiting loaded V + R or measured I")))))</x:f>
        <x:v>Awaiting raw observation</x:v>
      </x:c>
    </x:row>
    <x:row r="31">
      <x:c r="A31" s="31" t="str">
        <x:f>IF('Raw Measurements'!A31="","",'Raw Measurements'!A31)</x:f>
      </x:c>
      <x:c r="B31" s="31" t="str">
        <x:f>IF('Raw Measurements'!A31="","",'Raw Measurements'!B31)</x:f>
      </x:c>
      <x:c r="C31" s="31" t="str">
        <x:f>IF('Raw Measurements'!A31="","",'Raw Measurements'!C31)</x:f>
      </x:c>
      <x:c r="D31" s="31" t="str">
        <x:f>IF('Raw Measurements'!A31="","",'Raw Measurements'!E31)</x:f>
      </x:c>
      <x:c r="E31" s="31" t="str">
        <x:f>IF('Raw Measurements'!A31="","",'Raw Measurements'!G31)</x:f>
      </x:c>
      <x:c r="F31" s="31" t="str">
        <x:f>IF('Raw Measurements'!A31="","",'Raw Measurements'!J31)</x:f>
      </x:c>
      <x:c r="G31" s="34" t="str">
        <x:f>IF(OR('Raw Measurements'!J31&lt;&gt;"Loaded",'Raw Measurements'!K31=""),"",'Raw Measurements'!K31/1000)</x:f>
      </x:c>
      <x:c r="H31" s="34" t="str">
        <x:f>IF('Raw Measurements'!J31&lt;&gt;"Loaded","",IF('Raw Measurements'!N31&lt;&gt;"",'Raw Measurements'!N31,IF(AND('Raw Measurements'!K31&lt;&gt;"",'Raw Measurements'!M31&gt;0),'Raw Measurements'!K31/'Raw Measurements'!M31,"")))</x:f>
      </x:c>
      <x:c r="I31" s="34" t="str">
        <x:f>IF(OR(G31="",H31=""),"",G31*H31)</x:f>
      </x:c>
      <x:c r="J31" s="34" t="str">
        <x:f>IF('Experiment Metadata'!B30="","",'Experiment Metadata'!B30)</x:f>
      </x:c>
      <x:c r="K31" s="34" t="str">
        <x:f>IF(OR(I31="",J31="",J31&lt;=0),"",I31*10000/J31)</x:f>
      </x:c>
      <x:c r="L31" s="34" t="str">
        <x:f>IF(OR('Raw Measurements'!X31="",'Raw Measurements'!Y31="",'Raw Measurements'!X31&lt;=0),"",('Raw Measurements'!X31-'Raw Measurements'!Y31)/'Raw Measurements'!X31*100)</x:f>
      </x:c>
      <x:c r="M31" s="34" t="str">
        <x:f>IF(OR(A31="",A30="",I31="",I30="",C31&lt;&gt;C30,D31&lt;&gt;D30,E31&lt;=E30),"",(I31+I30)/2*(E31-E30))</x:f>
      </x:c>
      <x:c r="N31" s="31" t="str">
        <x:f>IF(A31="","Awaiting raw observation",IF(F31="Open circuit","OCV only - no external power",IF(F31="Short circuit","Treatment state - no external power",IF(F31&lt;&gt;"Loaded","Stored separately",IF(AND(G31&lt;&gt;"",H31&lt;&gt;""),"Calculated from compatible loaded data","Awaiting loaded V + R or measured I")))))</x:f>
        <x:v>Awaiting raw observation</x:v>
      </x:c>
    </x:row>
    <x:row r="32">
      <x:c r="A32" s="31" t="str">
        <x:f>IF('Raw Measurements'!A32="","",'Raw Measurements'!A32)</x:f>
      </x:c>
      <x:c r="B32" s="31" t="str">
        <x:f>IF('Raw Measurements'!A32="","",'Raw Measurements'!B32)</x:f>
      </x:c>
      <x:c r="C32" s="31" t="str">
        <x:f>IF('Raw Measurements'!A32="","",'Raw Measurements'!C32)</x:f>
      </x:c>
      <x:c r="D32" s="31" t="str">
        <x:f>IF('Raw Measurements'!A32="","",'Raw Measurements'!E32)</x:f>
      </x:c>
      <x:c r="E32" s="31" t="str">
        <x:f>IF('Raw Measurements'!A32="","",'Raw Measurements'!G32)</x:f>
      </x:c>
      <x:c r="F32" s="31" t="str">
        <x:f>IF('Raw Measurements'!A32="","",'Raw Measurements'!J32)</x:f>
      </x:c>
      <x:c r="G32" s="34" t="str">
        <x:f>IF(OR('Raw Measurements'!J32&lt;&gt;"Loaded",'Raw Measurements'!K32=""),"",'Raw Measurements'!K32/1000)</x:f>
      </x:c>
      <x:c r="H32" s="34" t="str">
        <x:f>IF('Raw Measurements'!J32&lt;&gt;"Loaded","",IF('Raw Measurements'!N32&lt;&gt;"",'Raw Measurements'!N32,IF(AND('Raw Measurements'!K32&lt;&gt;"",'Raw Measurements'!M32&gt;0),'Raw Measurements'!K32/'Raw Measurements'!M32,"")))</x:f>
      </x:c>
      <x:c r="I32" s="34" t="str">
        <x:f>IF(OR(G32="",H32=""),"",G32*H32)</x:f>
      </x:c>
      <x:c r="J32" s="34" t="str">
        <x:f>IF('Experiment Metadata'!B30="","",'Experiment Metadata'!B30)</x:f>
      </x:c>
      <x:c r="K32" s="34" t="str">
        <x:f>IF(OR(I32="",J32="",J32&lt;=0),"",I32*10000/J32)</x:f>
      </x:c>
      <x:c r="L32" s="34" t="str">
        <x:f>IF(OR('Raw Measurements'!X32="",'Raw Measurements'!Y32="",'Raw Measurements'!X32&lt;=0),"",('Raw Measurements'!X32-'Raw Measurements'!Y32)/'Raw Measurements'!X32*100)</x:f>
      </x:c>
      <x:c r="M32" s="34" t="str">
        <x:f>IF(OR(A32="",A31="",I32="",I31="",C32&lt;&gt;C31,D32&lt;&gt;D31,E32&lt;=E31),"",(I32+I31)/2*(E32-E31))</x:f>
      </x:c>
      <x:c r="N32" s="31" t="str">
        <x:f>IF(A32="","Awaiting raw observation",IF(F32="Open circuit","OCV only - no external power",IF(F32="Short circuit","Treatment state - no external power",IF(F32&lt;&gt;"Loaded","Stored separately",IF(AND(G32&lt;&gt;"",H32&lt;&gt;""),"Calculated from compatible loaded data","Awaiting loaded V + R or measured I")))))</x:f>
        <x:v>Awaiting raw observation</x:v>
      </x:c>
    </x:row>
    <x:row r="33">
      <x:c r="A33" s="31" t="str">
        <x:f>IF('Raw Measurements'!A33="","",'Raw Measurements'!A33)</x:f>
      </x:c>
      <x:c r="B33" s="31" t="str">
        <x:f>IF('Raw Measurements'!A33="","",'Raw Measurements'!B33)</x:f>
      </x:c>
      <x:c r="C33" s="31" t="str">
        <x:f>IF('Raw Measurements'!A33="","",'Raw Measurements'!C33)</x:f>
      </x:c>
      <x:c r="D33" s="31" t="str">
        <x:f>IF('Raw Measurements'!A33="","",'Raw Measurements'!E33)</x:f>
      </x:c>
      <x:c r="E33" s="31" t="str">
        <x:f>IF('Raw Measurements'!A33="","",'Raw Measurements'!G33)</x:f>
      </x:c>
      <x:c r="F33" s="31" t="str">
        <x:f>IF('Raw Measurements'!A33="","",'Raw Measurements'!J33)</x:f>
      </x:c>
      <x:c r="G33" s="34" t="str">
        <x:f>IF(OR('Raw Measurements'!J33&lt;&gt;"Loaded",'Raw Measurements'!K33=""),"",'Raw Measurements'!K33/1000)</x:f>
      </x:c>
      <x:c r="H33" s="34" t="str">
        <x:f>IF('Raw Measurements'!J33&lt;&gt;"Loaded","",IF('Raw Measurements'!N33&lt;&gt;"",'Raw Measurements'!N33,IF(AND('Raw Measurements'!K33&lt;&gt;"",'Raw Measurements'!M33&gt;0),'Raw Measurements'!K33/'Raw Measurements'!M33,"")))</x:f>
      </x:c>
      <x:c r="I33" s="34" t="str">
        <x:f>IF(OR(G33="",H33=""),"",G33*H33)</x:f>
      </x:c>
      <x:c r="J33" s="34" t="str">
        <x:f>IF('Experiment Metadata'!B30="","",'Experiment Metadata'!B30)</x:f>
      </x:c>
      <x:c r="K33" s="34" t="str">
        <x:f>IF(OR(I33="",J33="",J33&lt;=0),"",I33*10000/J33)</x:f>
      </x:c>
      <x:c r="L33" s="34" t="str">
        <x:f>IF(OR('Raw Measurements'!X33="",'Raw Measurements'!Y33="",'Raw Measurements'!X33&lt;=0),"",('Raw Measurements'!X33-'Raw Measurements'!Y33)/'Raw Measurements'!X33*100)</x:f>
      </x:c>
      <x:c r="M33" s="34" t="str">
        <x:f>IF(OR(A33="",A32="",I33="",I32="",C33&lt;&gt;C32,D33&lt;&gt;D32,E33&lt;=E32),"",(I33+I32)/2*(E33-E32))</x:f>
      </x:c>
      <x:c r="N33" s="31" t="str">
        <x:f>IF(A33="","Awaiting raw observation",IF(F33="Open circuit","OCV only - no external power",IF(F33="Short circuit","Treatment state - no external power",IF(F33&lt;&gt;"Loaded","Stored separately",IF(AND(G33&lt;&gt;"",H33&lt;&gt;""),"Calculated from compatible loaded data","Awaiting loaded V + R or measured I")))))</x:f>
        <x:v>Awaiting raw observation</x:v>
      </x:c>
    </x:row>
    <x:row r="34">
      <x:c r="A34" s="31" t="str">
        <x:f>IF('Raw Measurements'!A34="","",'Raw Measurements'!A34)</x:f>
      </x:c>
      <x:c r="B34" s="31" t="str">
        <x:f>IF('Raw Measurements'!A34="","",'Raw Measurements'!B34)</x:f>
      </x:c>
      <x:c r="C34" s="31" t="str">
        <x:f>IF('Raw Measurements'!A34="","",'Raw Measurements'!C34)</x:f>
      </x:c>
      <x:c r="D34" s="31" t="str">
        <x:f>IF('Raw Measurements'!A34="","",'Raw Measurements'!E34)</x:f>
      </x:c>
      <x:c r="E34" s="31" t="str">
        <x:f>IF('Raw Measurements'!A34="","",'Raw Measurements'!G34)</x:f>
      </x:c>
      <x:c r="F34" s="31" t="str">
        <x:f>IF('Raw Measurements'!A34="","",'Raw Measurements'!J34)</x:f>
      </x:c>
      <x:c r="G34" s="34" t="str">
        <x:f>IF(OR('Raw Measurements'!J34&lt;&gt;"Loaded",'Raw Measurements'!K34=""),"",'Raw Measurements'!K34/1000)</x:f>
      </x:c>
      <x:c r="H34" s="34" t="str">
        <x:f>IF('Raw Measurements'!J34&lt;&gt;"Loaded","",IF('Raw Measurements'!N34&lt;&gt;"",'Raw Measurements'!N34,IF(AND('Raw Measurements'!K34&lt;&gt;"",'Raw Measurements'!M34&gt;0),'Raw Measurements'!K34/'Raw Measurements'!M34,"")))</x:f>
      </x:c>
      <x:c r="I34" s="34" t="str">
        <x:f>IF(OR(G34="",H34=""),"",G34*H34)</x:f>
      </x:c>
      <x:c r="J34" s="34" t="str">
        <x:f>IF('Experiment Metadata'!B30="","",'Experiment Metadata'!B30)</x:f>
      </x:c>
      <x:c r="K34" s="34" t="str">
        <x:f>IF(OR(I34="",J34="",J34&lt;=0),"",I34*10000/J34)</x:f>
      </x:c>
      <x:c r="L34" s="34" t="str">
        <x:f>IF(OR('Raw Measurements'!X34="",'Raw Measurements'!Y34="",'Raw Measurements'!X34&lt;=0),"",('Raw Measurements'!X34-'Raw Measurements'!Y34)/'Raw Measurements'!X34*100)</x:f>
      </x:c>
      <x:c r="M34" s="34" t="str">
        <x:f>IF(OR(A34="",A33="",I34="",I33="",C34&lt;&gt;C33,D34&lt;&gt;D33,E34&lt;=E33),"",(I34+I33)/2*(E34-E33))</x:f>
      </x:c>
      <x:c r="N34" s="31" t="str">
        <x:f>IF(A34="","Awaiting raw observation",IF(F34="Open circuit","OCV only - no external power",IF(F34="Short circuit","Treatment state - no external power",IF(F34&lt;&gt;"Loaded","Stored separately",IF(AND(G34&lt;&gt;"",H34&lt;&gt;""),"Calculated from compatible loaded data","Awaiting loaded V + R or measured I")))))</x:f>
        <x:v>Awaiting raw observation</x:v>
      </x:c>
    </x:row>
    <x:row r="35">
      <x:c r="A35" s="31" t="str">
        <x:f>IF('Raw Measurements'!A35="","",'Raw Measurements'!A35)</x:f>
      </x:c>
      <x:c r="B35" s="31" t="str">
        <x:f>IF('Raw Measurements'!A35="","",'Raw Measurements'!B35)</x:f>
      </x:c>
      <x:c r="C35" s="31" t="str">
        <x:f>IF('Raw Measurements'!A35="","",'Raw Measurements'!C35)</x:f>
      </x:c>
      <x:c r="D35" s="31" t="str">
        <x:f>IF('Raw Measurements'!A35="","",'Raw Measurements'!E35)</x:f>
      </x:c>
      <x:c r="E35" s="31" t="str">
        <x:f>IF('Raw Measurements'!A35="","",'Raw Measurements'!G35)</x:f>
      </x:c>
      <x:c r="F35" s="31" t="str">
        <x:f>IF('Raw Measurements'!A35="","",'Raw Measurements'!J35)</x:f>
      </x:c>
      <x:c r="G35" s="34" t="str">
        <x:f>IF(OR('Raw Measurements'!J35&lt;&gt;"Loaded",'Raw Measurements'!K35=""),"",'Raw Measurements'!K35/1000)</x:f>
      </x:c>
      <x:c r="H35" s="34" t="str">
        <x:f>IF('Raw Measurements'!J35&lt;&gt;"Loaded","",IF('Raw Measurements'!N35&lt;&gt;"",'Raw Measurements'!N35,IF(AND('Raw Measurements'!K35&lt;&gt;"",'Raw Measurements'!M35&gt;0),'Raw Measurements'!K35/'Raw Measurements'!M35,"")))</x:f>
      </x:c>
      <x:c r="I35" s="34" t="str">
        <x:f>IF(OR(G35="",H35=""),"",G35*H35)</x:f>
      </x:c>
      <x:c r="J35" s="34" t="str">
        <x:f>IF('Experiment Metadata'!B30="","",'Experiment Metadata'!B30)</x:f>
      </x:c>
      <x:c r="K35" s="34" t="str">
        <x:f>IF(OR(I35="",J35="",J35&lt;=0),"",I35*10000/J35)</x:f>
      </x:c>
      <x:c r="L35" s="34" t="str">
        <x:f>IF(OR('Raw Measurements'!X35="",'Raw Measurements'!Y35="",'Raw Measurements'!X35&lt;=0),"",('Raw Measurements'!X35-'Raw Measurements'!Y35)/'Raw Measurements'!X35*100)</x:f>
      </x:c>
      <x:c r="M35" s="34" t="str">
        <x:f>IF(OR(A35="",A34="",I35="",I34="",C35&lt;&gt;C34,D35&lt;&gt;D34,E35&lt;=E34),"",(I35+I34)/2*(E35-E34))</x:f>
      </x:c>
      <x:c r="N35" s="31" t="str">
        <x:f>IF(A35="","Awaiting raw observation",IF(F35="Open circuit","OCV only - no external power",IF(F35="Short circuit","Treatment state - no external power",IF(F35&lt;&gt;"Loaded","Stored separately",IF(AND(G35&lt;&gt;"",H35&lt;&gt;""),"Calculated from compatible loaded data","Awaiting loaded V + R or measured I")))))</x:f>
        <x:v>Awaiting raw observation</x:v>
      </x:c>
    </x:row>
    <x:row r="36">
      <x:c r="A36" s="31" t="str">
        <x:f>IF('Raw Measurements'!A36="","",'Raw Measurements'!A36)</x:f>
      </x:c>
      <x:c r="B36" s="31" t="str">
        <x:f>IF('Raw Measurements'!A36="","",'Raw Measurements'!B36)</x:f>
      </x:c>
      <x:c r="C36" s="31" t="str">
        <x:f>IF('Raw Measurements'!A36="","",'Raw Measurements'!C36)</x:f>
      </x:c>
      <x:c r="D36" s="31" t="str">
        <x:f>IF('Raw Measurements'!A36="","",'Raw Measurements'!E36)</x:f>
      </x:c>
      <x:c r="E36" s="31" t="str">
        <x:f>IF('Raw Measurements'!A36="","",'Raw Measurements'!G36)</x:f>
      </x:c>
      <x:c r="F36" s="31" t="str">
        <x:f>IF('Raw Measurements'!A36="","",'Raw Measurements'!J36)</x:f>
      </x:c>
      <x:c r="G36" s="34" t="str">
        <x:f>IF(OR('Raw Measurements'!J36&lt;&gt;"Loaded",'Raw Measurements'!K36=""),"",'Raw Measurements'!K36/1000)</x:f>
      </x:c>
      <x:c r="H36" s="34" t="str">
        <x:f>IF('Raw Measurements'!J36&lt;&gt;"Loaded","",IF('Raw Measurements'!N36&lt;&gt;"",'Raw Measurements'!N36,IF(AND('Raw Measurements'!K36&lt;&gt;"",'Raw Measurements'!M36&gt;0),'Raw Measurements'!K36/'Raw Measurements'!M36,"")))</x:f>
      </x:c>
      <x:c r="I36" s="34" t="str">
        <x:f>IF(OR(G36="",H36=""),"",G36*H36)</x:f>
      </x:c>
      <x:c r="J36" s="34" t="str">
        <x:f>IF('Experiment Metadata'!B30="","",'Experiment Metadata'!B30)</x:f>
      </x:c>
      <x:c r="K36" s="34" t="str">
        <x:f>IF(OR(I36="",J36="",J36&lt;=0),"",I36*10000/J36)</x:f>
      </x:c>
      <x:c r="L36" s="34" t="str">
        <x:f>IF(OR('Raw Measurements'!X36="",'Raw Measurements'!Y36="",'Raw Measurements'!X36&lt;=0),"",('Raw Measurements'!X36-'Raw Measurements'!Y36)/'Raw Measurements'!X36*100)</x:f>
      </x:c>
      <x:c r="M36" s="34" t="str">
        <x:f>IF(OR(A36="",A35="",I36="",I35="",C36&lt;&gt;C35,D36&lt;&gt;D35,E36&lt;=E35),"",(I36+I35)/2*(E36-E35))</x:f>
      </x:c>
      <x:c r="N36" s="31" t="str">
        <x:f>IF(A36="","Awaiting raw observation",IF(F36="Open circuit","OCV only - no external power",IF(F36="Short circuit","Treatment state - no external power",IF(F36&lt;&gt;"Loaded","Stored separately",IF(AND(G36&lt;&gt;"",H36&lt;&gt;""),"Calculated from compatible loaded data","Awaiting loaded V + R or measured I")))))</x:f>
        <x:v>Awaiting raw observation</x:v>
      </x:c>
    </x:row>
    <x:row r="37">
      <x:c r="A37" s="31" t="str">
        <x:f>IF('Raw Measurements'!A37="","",'Raw Measurements'!A37)</x:f>
      </x:c>
      <x:c r="B37" s="31" t="str">
        <x:f>IF('Raw Measurements'!A37="","",'Raw Measurements'!B37)</x:f>
      </x:c>
      <x:c r="C37" s="31" t="str">
        <x:f>IF('Raw Measurements'!A37="","",'Raw Measurements'!C37)</x:f>
      </x:c>
      <x:c r="D37" s="31" t="str">
        <x:f>IF('Raw Measurements'!A37="","",'Raw Measurements'!E37)</x:f>
      </x:c>
      <x:c r="E37" s="31" t="str">
        <x:f>IF('Raw Measurements'!A37="","",'Raw Measurements'!G37)</x:f>
      </x:c>
      <x:c r="F37" s="31" t="str">
        <x:f>IF('Raw Measurements'!A37="","",'Raw Measurements'!J37)</x:f>
      </x:c>
      <x:c r="G37" s="34" t="str">
        <x:f>IF(OR('Raw Measurements'!J37&lt;&gt;"Loaded",'Raw Measurements'!K37=""),"",'Raw Measurements'!K37/1000)</x:f>
      </x:c>
      <x:c r="H37" s="34" t="str">
        <x:f>IF('Raw Measurements'!J37&lt;&gt;"Loaded","",IF('Raw Measurements'!N37&lt;&gt;"",'Raw Measurements'!N37,IF(AND('Raw Measurements'!K37&lt;&gt;"",'Raw Measurements'!M37&gt;0),'Raw Measurements'!K37/'Raw Measurements'!M37,"")))</x:f>
      </x:c>
      <x:c r="I37" s="34" t="str">
        <x:f>IF(OR(G37="",H37=""),"",G37*H37)</x:f>
      </x:c>
      <x:c r="J37" s="34" t="str">
        <x:f>IF('Experiment Metadata'!B30="","",'Experiment Metadata'!B30)</x:f>
      </x:c>
      <x:c r="K37" s="34" t="str">
        <x:f>IF(OR(I37="",J37="",J37&lt;=0),"",I37*10000/J37)</x:f>
      </x:c>
      <x:c r="L37" s="34" t="str">
        <x:f>IF(OR('Raw Measurements'!X37="",'Raw Measurements'!Y37="",'Raw Measurements'!X37&lt;=0),"",('Raw Measurements'!X37-'Raw Measurements'!Y37)/'Raw Measurements'!X37*100)</x:f>
      </x:c>
      <x:c r="M37" s="34" t="str">
        <x:f>IF(OR(A37="",A36="",I37="",I36="",C37&lt;&gt;C36,D37&lt;&gt;D36,E37&lt;=E36),"",(I37+I36)/2*(E37-E36))</x:f>
      </x:c>
      <x:c r="N37" s="31" t="str">
        <x:f>IF(A37="","Awaiting raw observation",IF(F37="Open circuit","OCV only - no external power",IF(F37="Short circuit","Treatment state - no external power",IF(F37&lt;&gt;"Loaded","Stored separately",IF(AND(G37&lt;&gt;"",H37&lt;&gt;""),"Calculated from compatible loaded data","Awaiting loaded V + R or measured I")))))</x:f>
        <x:v>Awaiting raw observation</x:v>
      </x:c>
    </x:row>
    <x:row r="38">
      <x:c r="A38" s="31" t="str">
        <x:f>IF('Raw Measurements'!A38="","",'Raw Measurements'!A38)</x:f>
      </x:c>
      <x:c r="B38" s="31" t="str">
        <x:f>IF('Raw Measurements'!A38="","",'Raw Measurements'!B38)</x:f>
      </x:c>
      <x:c r="C38" s="31" t="str">
        <x:f>IF('Raw Measurements'!A38="","",'Raw Measurements'!C38)</x:f>
      </x:c>
      <x:c r="D38" s="31" t="str">
        <x:f>IF('Raw Measurements'!A38="","",'Raw Measurements'!E38)</x:f>
      </x:c>
      <x:c r="E38" s="31" t="str">
        <x:f>IF('Raw Measurements'!A38="","",'Raw Measurements'!G38)</x:f>
      </x:c>
      <x:c r="F38" s="31" t="str">
        <x:f>IF('Raw Measurements'!A38="","",'Raw Measurements'!J38)</x:f>
      </x:c>
      <x:c r="G38" s="34" t="str">
        <x:f>IF(OR('Raw Measurements'!J38&lt;&gt;"Loaded",'Raw Measurements'!K38=""),"",'Raw Measurements'!K38/1000)</x:f>
      </x:c>
      <x:c r="H38" s="34" t="str">
        <x:f>IF('Raw Measurements'!J38&lt;&gt;"Loaded","",IF('Raw Measurements'!N38&lt;&gt;"",'Raw Measurements'!N38,IF(AND('Raw Measurements'!K38&lt;&gt;"",'Raw Measurements'!M38&gt;0),'Raw Measurements'!K38/'Raw Measurements'!M38,"")))</x:f>
      </x:c>
      <x:c r="I38" s="34" t="str">
        <x:f>IF(OR(G38="",H38=""),"",G38*H38)</x:f>
      </x:c>
      <x:c r="J38" s="34" t="str">
        <x:f>IF('Experiment Metadata'!B30="","",'Experiment Metadata'!B30)</x:f>
      </x:c>
      <x:c r="K38" s="34" t="str">
        <x:f>IF(OR(I38="",J38="",J38&lt;=0),"",I38*10000/J38)</x:f>
      </x:c>
      <x:c r="L38" s="34" t="str">
        <x:f>IF(OR('Raw Measurements'!X38="",'Raw Measurements'!Y38="",'Raw Measurements'!X38&lt;=0),"",('Raw Measurements'!X38-'Raw Measurements'!Y38)/'Raw Measurements'!X38*100)</x:f>
      </x:c>
      <x:c r="M38" s="34" t="str">
        <x:f>IF(OR(A38="",A37="",I38="",I37="",C38&lt;&gt;C37,D38&lt;&gt;D37,E38&lt;=E37),"",(I38+I37)/2*(E38-E37))</x:f>
      </x:c>
      <x:c r="N38" s="31" t="str">
        <x:f>IF(A38="","Awaiting raw observation",IF(F38="Open circuit","OCV only - no external power",IF(F38="Short circuit","Treatment state - no external power",IF(F38&lt;&gt;"Loaded","Stored separately",IF(AND(G38&lt;&gt;"",H38&lt;&gt;""),"Calculated from compatible loaded data","Awaiting loaded V + R or measured I")))))</x:f>
        <x:v>Awaiting raw observation</x:v>
      </x:c>
    </x:row>
    <x:row r="39">
      <x:c r="A39" s="31" t="str">
        <x:f>IF('Raw Measurements'!A39="","",'Raw Measurements'!A39)</x:f>
      </x:c>
      <x:c r="B39" s="31" t="str">
        <x:f>IF('Raw Measurements'!A39="","",'Raw Measurements'!B39)</x:f>
      </x:c>
      <x:c r="C39" s="31" t="str">
        <x:f>IF('Raw Measurements'!A39="","",'Raw Measurements'!C39)</x:f>
      </x:c>
      <x:c r="D39" s="31" t="str">
        <x:f>IF('Raw Measurements'!A39="","",'Raw Measurements'!E39)</x:f>
      </x:c>
      <x:c r="E39" s="31" t="str">
        <x:f>IF('Raw Measurements'!A39="","",'Raw Measurements'!G39)</x:f>
      </x:c>
      <x:c r="F39" s="31" t="str">
        <x:f>IF('Raw Measurements'!A39="","",'Raw Measurements'!J39)</x:f>
      </x:c>
      <x:c r="G39" s="34" t="str">
        <x:f>IF(OR('Raw Measurements'!J39&lt;&gt;"Loaded",'Raw Measurements'!K39=""),"",'Raw Measurements'!K39/1000)</x:f>
      </x:c>
      <x:c r="H39" s="34" t="str">
        <x:f>IF('Raw Measurements'!J39&lt;&gt;"Loaded","",IF('Raw Measurements'!N39&lt;&gt;"",'Raw Measurements'!N39,IF(AND('Raw Measurements'!K39&lt;&gt;"",'Raw Measurements'!M39&gt;0),'Raw Measurements'!K39/'Raw Measurements'!M39,"")))</x:f>
      </x:c>
      <x:c r="I39" s="34" t="str">
        <x:f>IF(OR(G39="",H39=""),"",G39*H39)</x:f>
      </x:c>
      <x:c r="J39" s="34" t="str">
        <x:f>IF('Experiment Metadata'!B30="","",'Experiment Metadata'!B30)</x:f>
      </x:c>
      <x:c r="K39" s="34" t="str">
        <x:f>IF(OR(I39="",J39="",J39&lt;=0),"",I39*10000/J39)</x:f>
      </x:c>
      <x:c r="L39" s="34" t="str">
        <x:f>IF(OR('Raw Measurements'!X39="",'Raw Measurements'!Y39="",'Raw Measurements'!X39&lt;=0),"",('Raw Measurements'!X39-'Raw Measurements'!Y39)/'Raw Measurements'!X39*100)</x:f>
      </x:c>
      <x:c r="M39" s="34" t="str">
        <x:f>IF(OR(A39="",A38="",I39="",I38="",C39&lt;&gt;C38,D39&lt;&gt;D38,E39&lt;=E38),"",(I39+I38)/2*(E39-E38))</x:f>
      </x:c>
      <x:c r="N39" s="31" t="str">
        <x:f>IF(A39="","Awaiting raw observation",IF(F39="Open circuit","OCV only - no external power",IF(F39="Short circuit","Treatment state - no external power",IF(F39&lt;&gt;"Loaded","Stored separately",IF(AND(G39&lt;&gt;"",H39&lt;&gt;""),"Calculated from compatible loaded data","Awaiting loaded V + R or measured I")))))</x:f>
        <x:v>Awaiting raw observation</x:v>
      </x:c>
    </x:row>
    <x:row r="40">
      <x:c r="A40" s="31" t="str">
        <x:f>IF('Raw Measurements'!A40="","",'Raw Measurements'!A40)</x:f>
      </x:c>
      <x:c r="B40" s="31" t="str">
        <x:f>IF('Raw Measurements'!A40="","",'Raw Measurements'!B40)</x:f>
      </x:c>
      <x:c r="C40" s="31" t="str">
        <x:f>IF('Raw Measurements'!A40="","",'Raw Measurements'!C40)</x:f>
      </x:c>
      <x:c r="D40" s="31" t="str">
        <x:f>IF('Raw Measurements'!A40="","",'Raw Measurements'!E40)</x:f>
      </x:c>
      <x:c r="E40" s="31" t="str">
        <x:f>IF('Raw Measurements'!A40="","",'Raw Measurements'!G40)</x:f>
      </x:c>
      <x:c r="F40" s="31" t="str">
        <x:f>IF('Raw Measurements'!A40="","",'Raw Measurements'!J40)</x:f>
      </x:c>
      <x:c r="G40" s="34" t="str">
        <x:f>IF(OR('Raw Measurements'!J40&lt;&gt;"Loaded",'Raw Measurements'!K40=""),"",'Raw Measurements'!K40/1000)</x:f>
      </x:c>
      <x:c r="H40" s="34" t="str">
        <x:f>IF('Raw Measurements'!J40&lt;&gt;"Loaded","",IF('Raw Measurements'!N40&lt;&gt;"",'Raw Measurements'!N40,IF(AND('Raw Measurements'!K40&lt;&gt;"",'Raw Measurements'!M40&gt;0),'Raw Measurements'!K40/'Raw Measurements'!M40,"")))</x:f>
      </x:c>
      <x:c r="I40" s="34" t="str">
        <x:f>IF(OR(G40="",H40=""),"",G40*H40)</x:f>
      </x:c>
      <x:c r="J40" s="34" t="str">
        <x:f>IF('Experiment Metadata'!B30="","",'Experiment Metadata'!B30)</x:f>
      </x:c>
      <x:c r="K40" s="34" t="str">
        <x:f>IF(OR(I40="",J40="",J40&lt;=0),"",I40*10000/J40)</x:f>
      </x:c>
      <x:c r="L40" s="34" t="str">
        <x:f>IF(OR('Raw Measurements'!X40="",'Raw Measurements'!Y40="",'Raw Measurements'!X40&lt;=0),"",('Raw Measurements'!X40-'Raw Measurements'!Y40)/'Raw Measurements'!X40*100)</x:f>
      </x:c>
      <x:c r="M40" s="34" t="str">
        <x:f>IF(OR(A40="",A39="",I40="",I39="",C40&lt;&gt;C39,D40&lt;&gt;D39,E40&lt;=E39),"",(I40+I39)/2*(E40-E39))</x:f>
      </x:c>
      <x:c r="N40" s="31" t="str">
        <x:f>IF(A40="","Awaiting raw observation",IF(F40="Open circuit","OCV only - no external power",IF(F40="Short circuit","Treatment state - no external power",IF(F40&lt;&gt;"Loaded","Stored separately",IF(AND(G40&lt;&gt;"",H40&lt;&gt;""),"Calculated from compatible loaded data","Awaiting loaded V + R or measured I")))))</x:f>
        <x:v>Awaiting raw observation</x:v>
      </x:c>
    </x:row>
    <x:row r="41">
      <x:c r="A41" s="31" t="str">
        <x:f>IF('Raw Measurements'!A41="","",'Raw Measurements'!A41)</x:f>
      </x:c>
      <x:c r="B41" s="31" t="str">
        <x:f>IF('Raw Measurements'!A41="","",'Raw Measurements'!B41)</x:f>
      </x:c>
      <x:c r="C41" s="31" t="str">
        <x:f>IF('Raw Measurements'!A41="","",'Raw Measurements'!C41)</x:f>
      </x:c>
      <x:c r="D41" s="31" t="str">
        <x:f>IF('Raw Measurements'!A41="","",'Raw Measurements'!E41)</x:f>
      </x:c>
      <x:c r="E41" s="31" t="str">
        <x:f>IF('Raw Measurements'!A41="","",'Raw Measurements'!G41)</x:f>
      </x:c>
      <x:c r="F41" s="31" t="str">
        <x:f>IF('Raw Measurements'!A41="","",'Raw Measurements'!J41)</x:f>
      </x:c>
      <x:c r="G41" s="34" t="str">
        <x:f>IF(OR('Raw Measurements'!J41&lt;&gt;"Loaded",'Raw Measurements'!K41=""),"",'Raw Measurements'!K41/1000)</x:f>
      </x:c>
      <x:c r="H41" s="34" t="str">
        <x:f>IF('Raw Measurements'!J41&lt;&gt;"Loaded","",IF('Raw Measurements'!N41&lt;&gt;"",'Raw Measurements'!N41,IF(AND('Raw Measurements'!K41&lt;&gt;"",'Raw Measurements'!M41&gt;0),'Raw Measurements'!K41/'Raw Measurements'!M41,"")))</x:f>
      </x:c>
      <x:c r="I41" s="34" t="str">
        <x:f>IF(OR(G41="",H41=""),"",G41*H41)</x:f>
      </x:c>
      <x:c r="J41" s="34" t="str">
        <x:f>IF('Experiment Metadata'!B30="","",'Experiment Metadata'!B30)</x:f>
      </x:c>
      <x:c r="K41" s="34" t="str">
        <x:f>IF(OR(I41="",J41="",J41&lt;=0),"",I41*10000/J41)</x:f>
      </x:c>
      <x:c r="L41" s="34" t="str">
        <x:f>IF(OR('Raw Measurements'!X41="",'Raw Measurements'!Y41="",'Raw Measurements'!X41&lt;=0),"",('Raw Measurements'!X41-'Raw Measurements'!Y41)/'Raw Measurements'!X41*100)</x:f>
      </x:c>
      <x:c r="M41" s="34" t="str">
        <x:f>IF(OR(A41="",A40="",I41="",I40="",C41&lt;&gt;C40,D41&lt;&gt;D40,E41&lt;=E40),"",(I41+I40)/2*(E41-E40))</x:f>
      </x:c>
      <x:c r="N41" s="31" t="str">
        <x:f>IF(A41="","Awaiting raw observation",IF(F41="Open circuit","OCV only - no external power",IF(F41="Short circuit","Treatment state - no external power",IF(F41&lt;&gt;"Loaded","Stored separately",IF(AND(G41&lt;&gt;"",H41&lt;&gt;""),"Calculated from compatible loaded data","Awaiting loaded V + R or measured I")))))</x:f>
        <x:v>Awaiting raw observation</x:v>
      </x:c>
    </x:row>
    <x:row r="42">
      <x:c r="A42" s="31" t="str">
        <x:f>IF('Raw Measurements'!A42="","",'Raw Measurements'!A42)</x:f>
      </x:c>
      <x:c r="B42" s="31" t="str">
        <x:f>IF('Raw Measurements'!A42="","",'Raw Measurements'!B42)</x:f>
      </x:c>
      <x:c r="C42" s="31" t="str">
        <x:f>IF('Raw Measurements'!A42="","",'Raw Measurements'!C42)</x:f>
      </x:c>
      <x:c r="D42" s="31" t="str">
        <x:f>IF('Raw Measurements'!A42="","",'Raw Measurements'!E42)</x:f>
      </x:c>
      <x:c r="E42" s="31" t="str">
        <x:f>IF('Raw Measurements'!A42="","",'Raw Measurements'!G42)</x:f>
      </x:c>
      <x:c r="F42" s="31" t="str">
        <x:f>IF('Raw Measurements'!A42="","",'Raw Measurements'!J42)</x:f>
      </x:c>
      <x:c r="G42" s="34" t="str">
        <x:f>IF(OR('Raw Measurements'!J42&lt;&gt;"Loaded",'Raw Measurements'!K42=""),"",'Raw Measurements'!K42/1000)</x:f>
      </x:c>
      <x:c r="H42" s="34" t="str">
        <x:f>IF('Raw Measurements'!J42&lt;&gt;"Loaded","",IF('Raw Measurements'!N42&lt;&gt;"",'Raw Measurements'!N42,IF(AND('Raw Measurements'!K42&lt;&gt;"",'Raw Measurements'!M42&gt;0),'Raw Measurements'!K42/'Raw Measurements'!M42,"")))</x:f>
      </x:c>
      <x:c r="I42" s="34" t="str">
        <x:f>IF(OR(G42="",H42=""),"",G42*H42)</x:f>
      </x:c>
      <x:c r="J42" s="34" t="str">
        <x:f>IF('Experiment Metadata'!B30="","",'Experiment Metadata'!B30)</x:f>
      </x:c>
      <x:c r="K42" s="34" t="str">
        <x:f>IF(OR(I42="",J42="",J42&lt;=0),"",I42*10000/J42)</x:f>
      </x:c>
      <x:c r="L42" s="34" t="str">
        <x:f>IF(OR('Raw Measurements'!X42="",'Raw Measurements'!Y42="",'Raw Measurements'!X42&lt;=0),"",('Raw Measurements'!X42-'Raw Measurements'!Y42)/'Raw Measurements'!X42*100)</x:f>
      </x:c>
      <x:c r="M42" s="34" t="str">
        <x:f>IF(OR(A42="",A41="",I42="",I41="",C42&lt;&gt;C41,D42&lt;&gt;D41,E42&lt;=E41),"",(I42+I41)/2*(E42-E41))</x:f>
      </x:c>
      <x:c r="N42" s="31" t="str">
        <x:f>IF(A42="","Awaiting raw observation",IF(F42="Open circuit","OCV only - no external power",IF(F42="Short circuit","Treatment state - no external power",IF(F42&lt;&gt;"Loaded","Stored separately",IF(AND(G42&lt;&gt;"",H42&lt;&gt;""),"Calculated from compatible loaded data","Awaiting loaded V + R or measured I")))))</x:f>
        <x:v>Awaiting raw observation</x:v>
      </x:c>
    </x:row>
    <x:row r="43">
      <x:c r="A43" s="31" t="str">
        <x:f>IF('Raw Measurements'!A43="","",'Raw Measurements'!A43)</x:f>
      </x:c>
      <x:c r="B43" s="31" t="str">
        <x:f>IF('Raw Measurements'!A43="","",'Raw Measurements'!B43)</x:f>
      </x:c>
      <x:c r="C43" s="31" t="str">
        <x:f>IF('Raw Measurements'!A43="","",'Raw Measurements'!C43)</x:f>
      </x:c>
      <x:c r="D43" s="31" t="str">
        <x:f>IF('Raw Measurements'!A43="","",'Raw Measurements'!E43)</x:f>
      </x:c>
      <x:c r="E43" s="31" t="str">
        <x:f>IF('Raw Measurements'!A43="","",'Raw Measurements'!G43)</x:f>
      </x:c>
      <x:c r="F43" s="31" t="str">
        <x:f>IF('Raw Measurements'!A43="","",'Raw Measurements'!J43)</x:f>
      </x:c>
      <x:c r="G43" s="34" t="str">
        <x:f>IF(OR('Raw Measurements'!J43&lt;&gt;"Loaded",'Raw Measurements'!K43=""),"",'Raw Measurements'!K43/1000)</x:f>
      </x:c>
      <x:c r="H43" s="34" t="str">
        <x:f>IF('Raw Measurements'!J43&lt;&gt;"Loaded","",IF('Raw Measurements'!N43&lt;&gt;"",'Raw Measurements'!N43,IF(AND('Raw Measurements'!K43&lt;&gt;"",'Raw Measurements'!M43&gt;0),'Raw Measurements'!K43/'Raw Measurements'!M43,"")))</x:f>
      </x:c>
      <x:c r="I43" s="34" t="str">
        <x:f>IF(OR(G43="",H43=""),"",G43*H43)</x:f>
      </x:c>
      <x:c r="J43" s="34" t="str">
        <x:f>IF('Experiment Metadata'!B30="","",'Experiment Metadata'!B30)</x:f>
      </x:c>
      <x:c r="K43" s="34" t="str">
        <x:f>IF(OR(I43="",J43="",J43&lt;=0),"",I43*10000/J43)</x:f>
      </x:c>
      <x:c r="L43" s="34" t="str">
        <x:f>IF(OR('Raw Measurements'!X43="",'Raw Measurements'!Y43="",'Raw Measurements'!X43&lt;=0),"",('Raw Measurements'!X43-'Raw Measurements'!Y43)/'Raw Measurements'!X43*100)</x:f>
      </x:c>
      <x:c r="M43" s="34" t="str">
        <x:f>IF(OR(A43="",A42="",I43="",I42="",C43&lt;&gt;C42,D43&lt;&gt;D42,E43&lt;=E42),"",(I43+I42)/2*(E43-E42))</x:f>
      </x:c>
      <x:c r="N43" s="31" t="str">
        <x:f>IF(A43="","Awaiting raw observation",IF(F43="Open circuit","OCV only - no external power",IF(F43="Short circuit","Treatment state - no external power",IF(F43&lt;&gt;"Loaded","Stored separately",IF(AND(G43&lt;&gt;"",H43&lt;&gt;""),"Calculated from compatible loaded data","Awaiting loaded V + R or measured I")))))</x:f>
        <x:v>Awaiting raw observation</x:v>
      </x:c>
    </x:row>
    <x:row r="44">
      <x:c r="A44" s="31" t="str">
        <x:f>IF('Raw Measurements'!A44="","",'Raw Measurements'!A44)</x:f>
      </x:c>
      <x:c r="B44" s="31" t="str">
        <x:f>IF('Raw Measurements'!A44="","",'Raw Measurements'!B44)</x:f>
      </x:c>
      <x:c r="C44" s="31" t="str">
        <x:f>IF('Raw Measurements'!A44="","",'Raw Measurements'!C44)</x:f>
      </x:c>
      <x:c r="D44" s="31" t="str">
        <x:f>IF('Raw Measurements'!A44="","",'Raw Measurements'!E44)</x:f>
      </x:c>
      <x:c r="E44" s="31" t="str">
        <x:f>IF('Raw Measurements'!A44="","",'Raw Measurements'!G44)</x:f>
      </x:c>
      <x:c r="F44" s="31" t="str">
        <x:f>IF('Raw Measurements'!A44="","",'Raw Measurements'!J44)</x:f>
      </x:c>
      <x:c r="G44" s="34" t="str">
        <x:f>IF(OR('Raw Measurements'!J44&lt;&gt;"Loaded",'Raw Measurements'!K44=""),"",'Raw Measurements'!K44/1000)</x:f>
      </x:c>
      <x:c r="H44" s="34" t="str">
        <x:f>IF('Raw Measurements'!J44&lt;&gt;"Loaded","",IF('Raw Measurements'!N44&lt;&gt;"",'Raw Measurements'!N44,IF(AND('Raw Measurements'!K44&lt;&gt;"",'Raw Measurements'!M44&gt;0),'Raw Measurements'!K44/'Raw Measurements'!M44,"")))</x:f>
      </x:c>
      <x:c r="I44" s="34" t="str">
        <x:f>IF(OR(G44="",H44=""),"",G44*H44)</x:f>
      </x:c>
      <x:c r="J44" s="34" t="str">
        <x:f>IF('Experiment Metadata'!B30="","",'Experiment Metadata'!B30)</x:f>
      </x:c>
      <x:c r="K44" s="34" t="str">
        <x:f>IF(OR(I44="",J44="",J44&lt;=0),"",I44*10000/J44)</x:f>
      </x:c>
      <x:c r="L44" s="34" t="str">
        <x:f>IF(OR('Raw Measurements'!X44="",'Raw Measurements'!Y44="",'Raw Measurements'!X44&lt;=0),"",('Raw Measurements'!X44-'Raw Measurements'!Y44)/'Raw Measurements'!X44*100)</x:f>
      </x:c>
      <x:c r="M44" s="34" t="str">
        <x:f>IF(OR(A44="",A43="",I44="",I43="",C44&lt;&gt;C43,D44&lt;&gt;D43,E44&lt;=E43),"",(I44+I43)/2*(E44-E43))</x:f>
      </x:c>
      <x:c r="N44" s="31" t="str">
        <x:f>IF(A44="","Awaiting raw observation",IF(F44="Open circuit","OCV only - no external power",IF(F44="Short circuit","Treatment state - no external power",IF(F44&lt;&gt;"Loaded","Stored separately",IF(AND(G44&lt;&gt;"",H44&lt;&gt;""),"Calculated from compatible loaded data","Awaiting loaded V + R or measured I")))))</x:f>
        <x:v>Awaiting raw observation</x:v>
      </x:c>
    </x:row>
    <x:row r="45">
      <x:c r="A45" s="31" t="str">
        <x:f>IF('Raw Measurements'!A45="","",'Raw Measurements'!A45)</x:f>
      </x:c>
      <x:c r="B45" s="31" t="str">
        <x:f>IF('Raw Measurements'!A45="","",'Raw Measurements'!B45)</x:f>
      </x:c>
      <x:c r="C45" s="31" t="str">
        <x:f>IF('Raw Measurements'!A45="","",'Raw Measurements'!C45)</x:f>
      </x:c>
      <x:c r="D45" s="31" t="str">
        <x:f>IF('Raw Measurements'!A45="","",'Raw Measurements'!E45)</x:f>
      </x:c>
      <x:c r="E45" s="31" t="str">
        <x:f>IF('Raw Measurements'!A45="","",'Raw Measurements'!G45)</x:f>
      </x:c>
      <x:c r="F45" s="31" t="str">
        <x:f>IF('Raw Measurements'!A45="","",'Raw Measurements'!J45)</x:f>
      </x:c>
      <x:c r="G45" s="34" t="str">
        <x:f>IF(OR('Raw Measurements'!J45&lt;&gt;"Loaded",'Raw Measurements'!K45=""),"",'Raw Measurements'!K45/1000)</x:f>
      </x:c>
      <x:c r="H45" s="34" t="str">
        <x:f>IF('Raw Measurements'!J45&lt;&gt;"Loaded","",IF('Raw Measurements'!N45&lt;&gt;"",'Raw Measurements'!N45,IF(AND('Raw Measurements'!K45&lt;&gt;"",'Raw Measurements'!M45&gt;0),'Raw Measurements'!K45/'Raw Measurements'!M45,"")))</x:f>
      </x:c>
      <x:c r="I45" s="34" t="str">
        <x:f>IF(OR(G45="",H45=""),"",G45*H45)</x:f>
      </x:c>
      <x:c r="J45" s="34" t="str">
        <x:f>IF('Experiment Metadata'!B30="","",'Experiment Metadata'!B30)</x:f>
      </x:c>
      <x:c r="K45" s="34" t="str">
        <x:f>IF(OR(I45="",J45="",J45&lt;=0),"",I45*10000/J45)</x:f>
      </x:c>
      <x:c r="L45" s="34" t="str">
        <x:f>IF(OR('Raw Measurements'!X45="",'Raw Measurements'!Y45="",'Raw Measurements'!X45&lt;=0),"",('Raw Measurements'!X45-'Raw Measurements'!Y45)/'Raw Measurements'!X45*100)</x:f>
      </x:c>
      <x:c r="M45" s="34" t="str">
        <x:f>IF(OR(A45="",A44="",I45="",I44="",C45&lt;&gt;C44,D45&lt;&gt;D44,E45&lt;=E44),"",(I45+I44)/2*(E45-E44))</x:f>
      </x:c>
      <x:c r="N45" s="31" t="str">
        <x:f>IF(A45="","Awaiting raw observation",IF(F45="Open circuit","OCV only - no external power",IF(F45="Short circuit","Treatment state - no external power",IF(F45&lt;&gt;"Loaded","Stored separately",IF(AND(G45&lt;&gt;"",H45&lt;&gt;""),"Calculated from compatible loaded data","Awaiting loaded V + R or measured I")))))</x:f>
        <x:v>Awaiting raw observation</x:v>
      </x:c>
    </x:row>
    <x:row r="46">
      <x:c r="A46" s="31" t="str">
        <x:f>IF('Raw Measurements'!A46="","",'Raw Measurements'!A46)</x:f>
      </x:c>
      <x:c r="B46" s="31" t="str">
        <x:f>IF('Raw Measurements'!A46="","",'Raw Measurements'!B46)</x:f>
      </x:c>
      <x:c r="C46" s="31" t="str">
        <x:f>IF('Raw Measurements'!A46="","",'Raw Measurements'!C46)</x:f>
      </x:c>
      <x:c r="D46" s="31" t="str">
        <x:f>IF('Raw Measurements'!A46="","",'Raw Measurements'!E46)</x:f>
      </x:c>
      <x:c r="E46" s="31" t="str">
        <x:f>IF('Raw Measurements'!A46="","",'Raw Measurements'!G46)</x:f>
      </x:c>
      <x:c r="F46" s="31" t="str">
        <x:f>IF('Raw Measurements'!A46="","",'Raw Measurements'!J46)</x:f>
      </x:c>
      <x:c r="G46" s="34" t="str">
        <x:f>IF(OR('Raw Measurements'!J46&lt;&gt;"Loaded",'Raw Measurements'!K46=""),"",'Raw Measurements'!K46/1000)</x:f>
      </x:c>
      <x:c r="H46" s="34" t="str">
        <x:f>IF('Raw Measurements'!J46&lt;&gt;"Loaded","",IF('Raw Measurements'!N46&lt;&gt;"",'Raw Measurements'!N46,IF(AND('Raw Measurements'!K46&lt;&gt;"",'Raw Measurements'!M46&gt;0),'Raw Measurements'!K46/'Raw Measurements'!M46,"")))</x:f>
      </x:c>
      <x:c r="I46" s="34" t="str">
        <x:f>IF(OR(G46="",H46=""),"",G46*H46)</x:f>
      </x:c>
      <x:c r="J46" s="34" t="str">
        <x:f>IF('Experiment Metadata'!B30="","",'Experiment Metadata'!B30)</x:f>
      </x:c>
      <x:c r="K46" s="34" t="str">
        <x:f>IF(OR(I46="",J46="",J46&lt;=0),"",I46*10000/J46)</x:f>
      </x:c>
      <x:c r="L46" s="34" t="str">
        <x:f>IF(OR('Raw Measurements'!X46="",'Raw Measurements'!Y46="",'Raw Measurements'!X46&lt;=0),"",('Raw Measurements'!X46-'Raw Measurements'!Y46)/'Raw Measurements'!X46*100)</x:f>
      </x:c>
      <x:c r="M46" s="34" t="str">
        <x:f>IF(OR(A46="",A45="",I46="",I45="",C46&lt;&gt;C45,D46&lt;&gt;D45,E46&lt;=E45),"",(I46+I45)/2*(E46-E45))</x:f>
      </x:c>
      <x:c r="N46" s="31" t="str">
        <x:f>IF(A46="","Awaiting raw observation",IF(F46="Open circuit","OCV only - no external power",IF(F46="Short circuit","Treatment state - no external power",IF(F46&lt;&gt;"Loaded","Stored separately",IF(AND(G46&lt;&gt;"",H46&lt;&gt;""),"Calculated from compatible loaded data","Awaiting loaded V + R or measured I")))))</x:f>
        <x:v>Awaiting raw observation</x:v>
      </x:c>
    </x:row>
    <x:row r="47">
      <x:c r="A47" s="31" t="str">
        <x:f>IF('Raw Measurements'!A47="","",'Raw Measurements'!A47)</x:f>
      </x:c>
      <x:c r="B47" s="31" t="str">
        <x:f>IF('Raw Measurements'!A47="","",'Raw Measurements'!B47)</x:f>
      </x:c>
      <x:c r="C47" s="31" t="str">
        <x:f>IF('Raw Measurements'!A47="","",'Raw Measurements'!C47)</x:f>
      </x:c>
      <x:c r="D47" s="31" t="str">
        <x:f>IF('Raw Measurements'!A47="","",'Raw Measurements'!E47)</x:f>
      </x:c>
      <x:c r="E47" s="31" t="str">
        <x:f>IF('Raw Measurements'!A47="","",'Raw Measurements'!G47)</x:f>
      </x:c>
      <x:c r="F47" s="31" t="str">
        <x:f>IF('Raw Measurements'!A47="","",'Raw Measurements'!J47)</x:f>
      </x:c>
      <x:c r="G47" s="34" t="str">
        <x:f>IF(OR('Raw Measurements'!J47&lt;&gt;"Loaded",'Raw Measurements'!K47=""),"",'Raw Measurements'!K47/1000)</x:f>
      </x:c>
      <x:c r="H47" s="34" t="str">
        <x:f>IF('Raw Measurements'!J47&lt;&gt;"Loaded","",IF('Raw Measurements'!N47&lt;&gt;"",'Raw Measurements'!N47,IF(AND('Raw Measurements'!K47&lt;&gt;"",'Raw Measurements'!M47&gt;0),'Raw Measurements'!K47/'Raw Measurements'!M47,"")))</x:f>
      </x:c>
      <x:c r="I47" s="34" t="str">
        <x:f>IF(OR(G47="",H47=""),"",G47*H47)</x:f>
      </x:c>
      <x:c r="J47" s="34" t="str">
        <x:f>IF('Experiment Metadata'!B30="","",'Experiment Metadata'!B30)</x:f>
      </x:c>
      <x:c r="K47" s="34" t="str">
        <x:f>IF(OR(I47="",J47="",J47&lt;=0),"",I47*10000/J47)</x:f>
      </x:c>
      <x:c r="L47" s="34" t="str">
        <x:f>IF(OR('Raw Measurements'!X47="",'Raw Measurements'!Y47="",'Raw Measurements'!X47&lt;=0),"",('Raw Measurements'!X47-'Raw Measurements'!Y47)/'Raw Measurements'!X47*100)</x:f>
      </x:c>
      <x:c r="M47" s="34" t="str">
        <x:f>IF(OR(A47="",A46="",I47="",I46="",C47&lt;&gt;C46,D47&lt;&gt;D46,E47&lt;=E46),"",(I47+I46)/2*(E47-E46))</x:f>
      </x:c>
      <x:c r="N47" s="31" t="str">
        <x:f>IF(A47="","Awaiting raw observation",IF(F47="Open circuit","OCV only - no external power",IF(F47="Short circuit","Treatment state - no external power",IF(F47&lt;&gt;"Loaded","Stored separately",IF(AND(G47&lt;&gt;"",H47&lt;&gt;""),"Calculated from compatible loaded data","Awaiting loaded V + R or measured I")))))</x:f>
        <x:v>Awaiting raw observation</x:v>
      </x:c>
    </x:row>
    <x:row r="48">
      <x:c r="A48" s="31" t="str">
        <x:f>IF('Raw Measurements'!A48="","",'Raw Measurements'!A48)</x:f>
      </x:c>
      <x:c r="B48" s="31" t="str">
        <x:f>IF('Raw Measurements'!A48="","",'Raw Measurements'!B48)</x:f>
      </x:c>
      <x:c r="C48" s="31" t="str">
        <x:f>IF('Raw Measurements'!A48="","",'Raw Measurements'!C48)</x:f>
      </x:c>
      <x:c r="D48" s="31" t="str">
        <x:f>IF('Raw Measurements'!A48="","",'Raw Measurements'!E48)</x:f>
      </x:c>
      <x:c r="E48" s="31" t="str">
        <x:f>IF('Raw Measurements'!A48="","",'Raw Measurements'!G48)</x:f>
      </x:c>
      <x:c r="F48" s="31" t="str">
        <x:f>IF('Raw Measurements'!A48="","",'Raw Measurements'!J48)</x:f>
      </x:c>
      <x:c r="G48" s="34" t="str">
        <x:f>IF(OR('Raw Measurements'!J48&lt;&gt;"Loaded",'Raw Measurements'!K48=""),"",'Raw Measurements'!K48/1000)</x:f>
      </x:c>
      <x:c r="H48" s="34" t="str">
        <x:f>IF('Raw Measurements'!J48&lt;&gt;"Loaded","",IF('Raw Measurements'!N48&lt;&gt;"",'Raw Measurements'!N48,IF(AND('Raw Measurements'!K48&lt;&gt;"",'Raw Measurements'!M48&gt;0),'Raw Measurements'!K48/'Raw Measurements'!M48,"")))</x:f>
      </x:c>
      <x:c r="I48" s="34" t="str">
        <x:f>IF(OR(G48="",H48=""),"",G48*H48)</x:f>
      </x:c>
      <x:c r="J48" s="34" t="str">
        <x:f>IF('Experiment Metadata'!B30="","",'Experiment Metadata'!B30)</x:f>
      </x:c>
      <x:c r="K48" s="34" t="str">
        <x:f>IF(OR(I48="",J48="",J48&lt;=0),"",I48*10000/J48)</x:f>
      </x:c>
      <x:c r="L48" s="34" t="str">
        <x:f>IF(OR('Raw Measurements'!X48="",'Raw Measurements'!Y48="",'Raw Measurements'!X48&lt;=0),"",('Raw Measurements'!X48-'Raw Measurements'!Y48)/'Raw Measurements'!X48*100)</x:f>
      </x:c>
      <x:c r="M48" s="34" t="str">
        <x:f>IF(OR(A48="",A47="",I48="",I47="",C48&lt;&gt;C47,D48&lt;&gt;D47,E48&lt;=E47),"",(I48+I47)/2*(E48-E47))</x:f>
      </x:c>
      <x:c r="N48" s="31" t="str">
        <x:f>IF(A48="","Awaiting raw observation",IF(F48="Open circuit","OCV only - no external power",IF(F48="Short circuit","Treatment state - no external power",IF(F48&lt;&gt;"Loaded","Stored separately",IF(AND(G48&lt;&gt;"",H48&lt;&gt;""),"Calculated from compatible loaded data","Awaiting loaded V + R or measured I")))))</x:f>
        <x:v>Awaiting raw observation</x:v>
      </x:c>
    </x:row>
    <x:row r="49">
      <x:c r="A49" s="31" t="str">
        <x:f>IF('Raw Measurements'!A49="","",'Raw Measurements'!A49)</x:f>
      </x:c>
      <x:c r="B49" s="31" t="str">
        <x:f>IF('Raw Measurements'!A49="","",'Raw Measurements'!B49)</x:f>
      </x:c>
      <x:c r="C49" s="31" t="str">
        <x:f>IF('Raw Measurements'!A49="","",'Raw Measurements'!C49)</x:f>
      </x:c>
      <x:c r="D49" s="31" t="str">
        <x:f>IF('Raw Measurements'!A49="","",'Raw Measurements'!E49)</x:f>
      </x:c>
      <x:c r="E49" s="31" t="str">
        <x:f>IF('Raw Measurements'!A49="","",'Raw Measurements'!G49)</x:f>
      </x:c>
      <x:c r="F49" s="31" t="str">
        <x:f>IF('Raw Measurements'!A49="","",'Raw Measurements'!J49)</x:f>
      </x:c>
      <x:c r="G49" s="34" t="str">
        <x:f>IF(OR('Raw Measurements'!J49&lt;&gt;"Loaded",'Raw Measurements'!K49=""),"",'Raw Measurements'!K49/1000)</x:f>
      </x:c>
      <x:c r="H49" s="34" t="str">
        <x:f>IF('Raw Measurements'!J49&lt;&gt;"Loaded","",IF('Raw Measurements'!N49&lt;&gt;"",'Raw Measurements'!N49,IF(AND('Raw Measurements'!K49&lt;&gt;"",'Raw Measurements'!M49&gt;0),'Raw Measurements'!K49/'Raw Measurements'!M49,"")))</x:f>
      </x:c>
      <x:c r="I49" s="34" t="str">
        <x:f>IF(OR(G49="",H49=""),"",G49*H49)</x:f>
      </x:c>
      <x:c r="J49" s="34" t="str">
        <x:f>IF('Experiment Metadata'!B30="","",'Experiment Metadata'!B30)</x:f>
      </x:c>
      <x:c r="K49" s="34" t="str">
        <x:f>IF(OR(I49="",J49="",J49&lt;=0),"",I49*10000/J49)</x:f>
      </x:c>
      <x:c r="L49" s="34" t="str">
        <x:f>IF(OR('Raw Measurements'!X49="",'Raw Measurements'!Y49="",'Raw Measurements'!X49&lt;=0),"",('Raw Measurements'!X49-'Raw Measurements'!Y49)/'Raw Measurements'!X49*100)</x:f>
      </x:c>
      <x:c r="M49" s="34" t="str">
        <x:f>IF(OR(A49="",A48="",I49="",I48="",C49&lt;&gt;C48,D49&lt;&gt;D48,E49&lt;=E48),"",(I49+I48)/2*(E49-E48))</x:f>
      </x:c>
      <x:c r="N49" s="31" t="str">
        <x:f>IF(A49="","Awaiting raw observation",IF(F49="Open circuit","OCV only - no external power",IF(F49="Short circuit","Treatment state - no external power",IF(F49&lt;&gt;"Loaded","Stored separately",IF(AND(G49&lt;&gt;"",H49&lt;&gt;""),"Calculated from compatible loaded data","Awaiting loaded V + R or measured I")))))</x:f>
        <x:v>Awaiting raw observation</x:v>
      </x:c>
    </x:row>
    <x:row r="50">
      <x:c r="A50" s="31" t="str">
        <x:f>IF('Raw Measurements'!A50="","",'Raw Measurements'!A50)</x:f>
      </x:c>
      <x:c r="B50" s="31" t="str">
        <x:f>IF('Raw Measurements'!A50="","",'Raw Measurements'!B50)</x:f>
      </x:c>
      <x:c r="C50" s="31" t="str">
        <x:f>IF('Raw Measurements'!A50="","",'Raw Measurements'!C50)</x:f>
      </x:c>
      <x:c r="D50" s="31" t="str">
        <x:f>IF('Raw Measurements'!A50="","",'Raw Measurements'!E50)</x:f>
      </x:c>
      <x:c r="E50" s="31" t="str">
        <x:f>IF('Raw Measurements'!A50="","",'Raw Measurements'!G50)</x:f>
      </x:c>
      <x:c r="F50" s="31" t="str">
        <x:f>IF('Raw Measurements'!A50="","",'Raw Measurements'!J50)</x:f>
      </x:c>
      <x:c r="G50" s="34" t="str">
        <x:f>IF(OR('Raw Measurements'!J50&lt;&gt;"Loaded",'Raw Measurements'!K50=""),"",'Raw Measurements'!K50/1000)</x:f>
      </x:c>
      <x:c r="H50" s="34" t="str">
        <x:f>IF('Raw Measurements'!J50&lt;&gt;"Loaded","",IF('Raw Measurements'!N50&lt;&gt;"",'Raw Measurements'!N50,IF(AND('Raw Measurements'!K50&lt;&gt;"",'Raw Measurements'!M50&gt;0),'Raw Measurements'!K50/'Raw Measurements'!M50,"")))</x:f>
      </x:c>
      <x:c r="I50" s="34" t="str">
        <x:f>IF(OR(G50="",H50=""),"",G50*H50)</x:f>
      </x:c>
      <x:c r="J50" s="34" t="str">
        <x:f>IF('Experiment Metadata'!B30="","",'Experiment Metadata'!B30)</x:f>
      </x:c>
      <x:c r="K50" s="34" t="str">
        <x:f>IF(OR(I50="",J50="",J50&lt;=0),"",I50*10000/J50)</x:f>
      </x:c>
      <x:c r="L50" s="34" t="str">
        <x:f>IF(OR('Raw Measurements'!X50="",'Raw Measurements'!Y50="",'Raw Measurements'!X50&lt;=0),"",('Raw Measurements'!X50-'Raw Measurements'!Y50)/'Raw Measurements'!X50*100)</x:f>
      </x:c>
      <x:c r="M50" s="34" t="str">
        <x:f>IF(OR(A50="",A49="",I50="",I49="",C50&lt;&gt;C49,D50&lt;&gt;D49,E50&lt;=E49),"",(I50+I49)/2*(E50-E49))</x:f>
      </x:c>
      <x:c r="N50" s="31" t="str">
        <x:f>IF(A50="","Awaiting raw observation",IF(F50="Open circuit","OCV only - no external power",IF(F50="Short circuit","Treatment state - no external power",IF(F50&lt;&gt;"Loaded","Stored separately",IF(AND(G50&lt;&gt;"",H50&lt;&gt;""),"Calculated from compatible loaded data","Awaiting loaded V + R or measured I")))))</x:f>
        <x:v>Awaiting raw observation</x:v>
      </x:c>
    </x:row>
    <x:row r="51">
      <x:c r="A51" s="31" t="str">
        <x:f>IF('Raw Measurements'!A51="","",'Raw Measurements'!A51)</x:f>
      </x:c>
      <x:c r="B51" s="31" t="str">
        <x:f>IF('Raw Measurements'!A51="","",'Raw Measurements'!B51)</x:f>
      </x:c>
      <x:c r="C51" s="31" t="str">
        <x:f>IF('Raw Measurements'!A51="","",'Raw Measurements'!C51)</x:f>
      </x:c>
      <x:c r="D51" s="31" t="str">
        <x:f>IF('Raw Measurements'!A51="","",'Raw Measurements'!E51)</x:f>
      </x:c>
      <x:c r="E51" s="31" t="str">
        <x:f>IF('Raw Measurements'!A51="","",'Raw Measurements'!G51)</x:f>
      </x:c>
      <x:c r="F51" s="31" t="str">
        <x:f>IF('Raw Measurements'!A51="","",'Raw Measurements'!J51)</x:f>
      </x:c>
      <x:c r="G51" s="34" t="str">
        <x:f>IF(OR('Raw Measurements'!J51&lt;&gt;"Loaded",'Raw Measurements'!K51=""),"",'Raw Measurements'!K51/1000)</x:f>
      </x:c>
      <x:c r="H51" s="34" t="str">
        <x:f>IF('Raw Measurements'!J51&lt;&gt;"Loaded","",IF('Raw Measurements'!N51&lt;&gt;"",'Raw Measurements'!N51,IF(AND('Raw Measurements'!K51&lt;&gt;"",'Raw Measurements'!M51&gt;0),'Raw Measurements'!K51/'Raw Measurements'!M51,"")))</x:f>
      </x:c>
      <x:c r="I51" s="34" t="str">
        <x:f>IF(OR(G51="",H51=""),"",G51*H51)</x:f>
      </x:c>
      <x:c r="J51" s="34" t="str">
        <x:f>IF('Experiment Metadata'!B30="","",'Experiment Metadata'!B30)</x:f>
      </x:c>
      <x:c r="K51" s="34" t="str">
        <x:f>IF(OR(I51="",J51="",J51&lt;=0),"",I51*10000/J51)</x:f>
      </x:c>
      <x:c r="L51" s="34" t="str">
        <x:f>IF(OR('Raw Measurements'!X51="",'Raw Measurements'!Y51="",'Raw Measurements'!X51&lt;=0),"",('Raw Measurements'!X51-'Raw Measurements'!Y51)/'Raw Measurements'!X51*100)</x:f>
      </x:c>
      <x:c r="M51" s="34" t="str">
        <x:f>IF(OR(A51="",A50="",I51="",I50="",C51&lt;&gt;C50,D51&lt;&gt;D50,E51&lt;=E50),"",(I51+I50)/2*(E51-E50))</x:f>
      </x:c>
      <x:c r="N51" s="31" t="str">
        <x:f>IF(A51="","Awaiting raw observation",IF(F51="Open circuit","OCV only - no external power",IF(F51="Short circuit","Treatment state - no external power",IF(F51&lt;&gt;"Loaded","Stored separately",IF(AND(G51&lt;&gt;"",H51&lt;&gt;""),"Calculated from compatible loaded data","Awaiting loaded V + R or measured I")))))</x:f>
        <x:v>Awaiting raw observation</x:v>
      </x:c>
    </x:row>
    <x:row r="52">
      <x:c r="A52" s="31" t="str">
        <x:f>IF('Raw Measurements'!A52="","",'Raw Measurements'!A52)</x:f>
      </x:c>
      <x:c r="B52" s="31" t="str">
        <x:f>IF('Raw Measurements'!A52="","",'Raw Measurements'!B52)</x:f>
      </x:c>
      <x:c r="C52" s="31" t="str">
        <x:f>IF('Raw Measurements'!A52="","",'Raw Measurements'!C52)</x:f>
      </x:c>
      <x:c r="D52" s="31" t="str">
        <x:f>IF('Raw Measurements'!A52="","",'Raw Measurements'!E52)</x:f>
      </x:c>
      <x:c r="E52" s="31" t="str">
        <x:f>IF('Raw Measurements'!A52="","",'Raw Measurements'!G52)</x:f>
      </x:c>
      <x:c r="F52" s="31" t="str">
        <x:f>IF('Raw Measurements'!A52="","",'Raw Measurements'!J52)</x:f>
      </x:c>
      <x:c r="G52" s="34" t="str">
        <x:f>IF(OR('Raw Measurements'!J52&lt;&gt;"Loaded",'Raw Measurements'!K52=""),"",'Raw Measurements'!K52/1000)</x:f>
      </x:c>
      <x:c r="H52" s="34" t="str">
        <x:f>IF('Raw Measurements'!J52&lt;&gt;"Loaded","",IF('Raw Measurements'!N52&lt;&gt;"",'Raw Measurements'!N52,IF(AND('Raw Measurements'!K52&lt;&gt;"",'Raw Measurements'!M52&gt;0),'Raw Measurements'!K52/'Raw Measurements'!M52,"")))</x:f>
      </x:c>
      <x:c r="I52" s="34" t="str">
        <x:f>IF(OR(G52="",H52=""),"",G52*H52)</x:f>
      </x:c>
      <x:c r="J52" s="34" t="str">
        <x:f>IF('Experiment Metadata'!B30="","",'Experiment Metadata'!B30)</x:f>
      </x:c>
      <x:c r="K52" s="34" t="str">
        <x:f>IF(OR(I52="",J52="",J52&lt;=0),"",I52*10000/J52)</x:f>
      </x:c>
      <x:c r="L52" s="34" t="str">
        <x:f>IF(OR('Raw Measurements'!X52="",'Raw Measurements'!Y52="",'Raw Measurements'!X52&lt;=0),"",('Raw Measurements'!X52-'Raw Measurements'!Y52)/'Raw Measurements'!X52*100)</x:f>
      </x:c>
      <x:c r="M52" s="34" t="str">
        <x:f>IF(OR(A52="",A51="",I52="",I51="",C52&lt;&gt;C51,D52&lt;&gt;D51,E52&lt;=E51),"",(I52+I51)/2*(E52-E51))</x:f>
      </x:c>
      <x:c r="N52" s="31" t="str">
        <x:f>IF(A52="","Awaiting raw observation",IF(F52="Open circuit","OCV only - no external power",IF(F52="Short circuit","Treatment state - no external power",IF(F52&lt;&gt;"Loaded","Stored separately",IF(AND(G52&lt;&gt;"",H52&lt;&gt;""),"Calculated from compatible loaded data","Awaiting loaded V + R or measured I")))))</x:f>
        <x:v>Awaiting raw observation</x:v>
      </x:c>
    </x:row>
    <x:row r="53">
      <x:c r="A53" s="31" t="str">
        <x:f>IF('Raw Measurements'!A53="","",'Raw Measurements'!A53)</x:f>
      </x:c>
      <x:c r="B53" s="31" t="str">
        <x:f>IF('Raw Measurements'!A53="","",'Raw Measurements'!B53)</x:f>
      </x:c>
      <x:c r="C53" s="31" t="str">
        <x:f>IF('Raw Measurements'!A53="","",'Raw Measurements'!C53)</x:f>
      </x:c>
      <x:c r="D53" s="31" t="str">
        <x:f>IF('Raw Measurements'!A53="","",'Raw Measurements'!E53)</x:f>
      </x:c>
      <x:c r="E53" s="31" t="str">
        <x:f>IF('Raw Measurements'!A53="","",'Raw Measurements'!G53)</x:f>
      </x:c>
      <x:c r="F53" s="31" t="str">
        <x:f>IF('Raw Measurements'!A53="","",'Raw Measurements'!J53)</x:f>
      </x:c>
      <x:c r="G53" s="34" t="str">
        <x:f>IF(OR('Raw Measurements'!J53&lt;&gt;"Loaded",'Raw Measurements'!K53=""),"",'Raw Measurements'!K53/1000)</x:f>
      </x:c>
      <x:c r="H53" s="34" t="str">
        <x:f>IF('Raw Measurements'!J53&lt;&gt;"Loaded","",IF('Raw Measurements'!N53&lt;&gt;"",'Raw Measurements'!N53,IF(AND('Raw Measurements'!K53&lt;&gt;"",'Raw Measurements'!M53&gt;0),'Raw Measurements'!K53/'Raw Measurements'!M53,"")))</x:f>
      </x:c>
      <x:c r="I53" s="34" t="str">
        <x:f>IF(OR(G53="",H53=""),"",G53*H53)</x:f>
      </x:c>
      <x:c r="J53" s="34" t="str">
        <x:f>IF('Experiment Metadata'!B30="","",'Experiment Metadata'!B30)</x:f>
      </x:c>
      <x:c r="K53" s="34" t="str">
        <x:f>IF(OR(I53="",J53="",J53&lt;=0),"",I53*10000/J53)</x:f>
      </x:c>
      <x:c r="L53" s="34" t="str">
        <x:f>IF(OR('Raw Measurements'!X53="",'Raw Measurements'!Y53="",'Raw Measurements'!X53&lt;=0),"",('Raw Measurements'!X53-'Raw Measurements'!Y53)/'Raw Measurements'!X53*100)</x:f>
      </x:c>
      <x:c r="M53" s="34" t="str">
        <x:f>IF(OR(A53="",A52="",I53="",I52="",C53&lt;&gt;C52,D53&lt;&gt;D52,E53&lt;=E52),"",(I53+I52)/2*(E53-E52))</x:f>
      </x:c>
      <x:c r="N53" s="31" t="str">
        <x:f>IF(A53="","Awaiting raw observation",IF(F53="Open circuit","OCV only - no external power",IF(F53="Short circuit","Treatment state - no external power",IF(F53&lt;&gt;"Loaded","Stored separately",IF(AND(G53&lt;&gt;"",H53&lt;&gt;""),"Calculated from compatible loaded data","Awaiting loaded V + R or measured I")))))</x:f>
        <x:v>Awaiting raw observation</x:v>
      </x:c>
    </x:row>
    <x:row r="54">
      <x:c r="A54" s="31" t="str">
        <x:f>IF('Raw Measurements'!A54="","",'Raw Measurements'!A54)</x:f>
      </x:c>
      <x:c r="B54" s="31" t="str">
        <x:f>IF('Raw Measurements'!A54="","",'Raw Measurements'!B54)</x:f>
      </x:c>
      <x:c r="C54" s="31" t="str">
        <x:f>IF('Raw Measurements'!A54="","",'Raw Measurements'!C54)</x:f>
      </x:c>
      <x:c r="D54" s="31" t="str">
        <x:f>IF('Raw Measurements'!A54="","",'Raw Measurements'!E54)</x:f>
      </x:c>
      <x:c r="E54" s="31" t="str">
        <x:f>IF('Raw Measurements'!A54="","",'Raw Measurements'!G54)</x:f>
      </x:c>
      <x:c r="F54" s="31" t="str">
        <x:f>IF('Raw Measurements'!A54="","",'Raw Measurements'!J54)</x:f>
      </x:c>
      <x:c r="G54" s="34" t="str">
        <x:f>IF(OR('Raw Measurements'!J54&lt;&gt;"Loaded",'Raw Measurements'!K54=""),"",'Raw Measurements'!K54/1000)</x:f>
      </x:c>
      <x:c r="H54" s="34" t="str">
        <x:f>IF('Raw Measurements'!J54&lt;&gt;"Loaded","",IF('Raw Measurements'!N54&lt;&gt;"",'Raw Measurements'!N54,IF(AND('Raw Measurements'!K54&lt;&gt;"",'Raw Measurements'!M54&gt;0),'Raw Measurements'!K54/'Raw Measurements'!M54,"")))</x:f>
      </x:c>
      <x:c r="I54" s="34" t="str">
        <x:f>IF(OR(G54="",H54=""),"",G54*H54)</x:f>
      </x:c>
      <x:c r="J54" s="34" t="str">
        <x:f>IF('Experiment Metadata'!B30="","",'Experiment Metadata'!B30)</x:f>
      </x:c>
      <x:c r="K54" s="34" t="str">
        <x:f>IF(OR(I54="",J54="",J54&lt;=0),"",I54*10000/J54)</x:f>
      </x:c>
      <x:c r="L54" s="34" t="str">
        <x:f>IF(OR('Raw Measurements'!X54="",'Raw Measurements'!Y54="",'Raw Measurements'!X54&lt;=0),"",('Raw Measurements'!X54-'Raw Measurements'!Y54)/'Raw Measurements'!X54*100)</x:f>
      </x:c>
      <x:c r="M54" s="34" t="str">
        <x:f>IF(OR(A54="",A53="",I54="",I53="",C54&lt;&gt;C53,D54&lt;&gt;D53,E54&lt;=E53),"",(I54+I53)/2*(E54-E53))</x:f>
      </x:c>
      <x:c r="N54" s="31" t="str">
        <x:f>IF(A54="","Awaiting raw observation",IF(F54="Open circuit","OCV only - no external power",IF(F54="Short circuit","Treatment state - no external power",IF(F54&lt;&gt;"Loaded","Stored separately",IF(AND(G54&lt;&gt;"",H54&lt;&gt;""),"Calculated from compatible loaded data","Awaiting loaded V + R or measured I")))))</x:f>
        <x:v>Awaiting raw observation</x:v>
      </x:c>
    </x:row>
    <x:row r="55">
      <x:c r="A55" s="31" t="str">
        <x:f>IF('Raw Measurements'!A55="","",'Raw Measurements'!A55)</x:f>
      </x:c>
      <x:c r="B55" s="31" t="str">
        <x:f>IF('Raw Measurements'!A55="","",'Raw Measurements'!B55)</x:f>
      </x:c>
      <x:c r="C55" s="31" t="str">
        <x:f>IF('Raw Measurements'!A55="","",'Raw Measurements'!C55)</x:f>
      </x:c>
      <x:c r="D55" s="31" t="str">
        <x:f>IF('Raw Measurements'!A55="","",'Raw Measurements'!E55)</x:f>
      </x:c>
      <x:c r="E55" s="31" t="str">
        <x:f>IF('Raw Measurements'!A55="","",'Raw Measurements'!G55)</x:f>
      </x:c>
      <x:c r="F55" s="31" t="str">
        <x:f>IF('Raw Measurements'!A55="","",'Raw Measurements'!J55)</x:f>
      </x:c>
      <x:c r="G55" s="34" t="str">
        <x:f>IF(OR('Raw Measurements'!J55&lt;&gt;"Loaded",'Raw Measurements'!K55=""),"",'Raw Measurements'!K55/1000)</x:f>
      </x:c>
      <x:c r="H55" s="34" t="str">
        <x:f>IF('Raw Measurements'!J55&lt;&gt;"Loaded","",IF('Raw Measurements'!N55&lt;&gt;"",'Raw Measurements'!N55,IF(AND('Raw Measurements'!K55&lt;&gt;"",'Raw Measurements'!M55&gt;0),'Raw Measurements'!K55/'Raw Measurements'!M55,"")))</x:f>
      </x:c>
      <x:c r="I55" s="34" t="str">
        <x:f>IF(OR(G55="",H55=""),"",G55*H55)</x:f>
      </x:c>
      <x:c r="J55" s="34" t="str">
        <x:f>IF('Experiment Metadata'!B30="","",'Experiment Metadata'!B30)</x:f>
      </x:c>
      <x:c r="K55" s="34" t="str">
        <x:f>IF(OR(I55="",J55="",J55&lt;=0),"",I55*10000/J55)</x:f>
      </x:c>
      <x:c r="L55" s="34" t="str">
        <x:f>IF(OR('Raw Measurements'!X55="",'Raw Measurements'!Y55="",'Raw Measurements'!X55&lt;=0),"",('Raw Measurements'!X55-'Raw Measurements'!Y55)/'Raw Measurements'!X55*100)</x:f>
      </x:c>
      <x:c r="M55" s="34" t="str">
        <x:f>IF(OR(A55="",A54="",I55="",I54="",C55&lt;&gt;C54,D55&lt;&gt;D54,E55&lt;=E54),"",(I55+I54)/2*(E55-E54))</x:f>
      </x:c>
      <x:c r="N55" s="31" t="str">
        <x:f>IF(A55="","Awaiting raw observation",IF(F55="Open circuit","OCV only - no external power",IF(F55="Short circuit","Treatment state - no external power",IF(F55&lt;&gt;"Loaded","Stored separately",IF(AND(G55&lt;&gt;"",H55&lt;&gt;""),"Calculated from compatible loaded data","Awaiting loaded V + R or measured I")))))</x:f>
        <x:v>Awaiting raw observation</x:v>
      </x:c>
    </x:row>
    <x:row r="56">
      <x:c r="A56" s="31" t="str">
        <x:f>IF('Raw Measurements'!A56="","",'Raw Measurements'!A56)</x:f>
      </x:c>
      <x:c r="B56" s="31" t="str">
        <x:f>IF('Raw Measurements'!A56="","",'Raw Measurements'!B56)</x:f>
      </x:c>
      <x:c r="C56" s="31" t="str">
        <x:f>IF('Raw Measurements'!A56="","",'Raw Measurements'!C56)</x:f>
      </x:c>
      <x:c r="D56" s="31" t="str">
        <x:f>IF('Raw Measurements'!A56="","",'Raw Measurements'!E56)</x:f>
      </x:c>
      <x:c r="E56" s="31" t="str">
        <x:f>IF('Raw Measurements'!A56="","",'Raw Measurements'!G56)</x:f>
      </x:c>
      <x:c r="F56" s="31" t="str">
        <x:f>IF('Raw Measurements'!A56="","",'Raw Measurements'!J56)</x:f>
      </x:c>
      <x:c r="G56" s="34" t="str">
        <x:f>IF(OR('Raw Measurements'!J56&lt;&gt;"Loaded",'Raw Measurements'!K56=""),"",'Raw Measurements'!K56/1000)</x:f>
      </x:c>
      <x:c r="H56" s="34" t="str">
        <x:f>IF('Raw Measurements'!J56&lt;&gt;"Loaded","",IF('Raw Measurements'!N56&lt;&gt;"",'Raw Measurements'!N56,IF(AND('Raw Measurements'!K56&lt;&gt;"",'Raw Measurements'!M56&gt;0),'Raw Measurements'!K56/'Raw Measurements'!M56,"")))</x:f>
      </x:c>
      <x:c r="I56" s="34" t="str">
        <x:f>IF(OR(G56="",H56=""),"",G56*H56)</x:f>
      </x:c>
      <x:c r="J56" s="34" t="str">
        <x:f>IF('Experiment Metadata'!B30="","",'Experiment Metadata'!B30)</x:f>
      </x:c>
      <x:c r="K56" s="34" t="str">
        <x:f>IF(OR(I56="",J56="",J56&lt;=0),"",I56*10000/J56)</x:f>
      </x:c>
      <x:c r="L56" s="34" t="str">
        <x:f>IF(OR('Raw Measurements'!X56="",'Raw Measurements'!Y56="",'Raw Measurements'!X56&lt;=0),"",('Raw Measurements'!X56-'Raw Measurements'!Y56)/'Raw Measurements'!X56*100)</x:f>
      </x:c>
      <x:c r="M56" s="34" t="str">
        <x:f>IF(OR(A56="",A55="",I56="",I55="",C56&lt;&gt;C55,D56&lt;&gt;D55,E56&lt;=E55),"",(I56+I55)/2*(E56-E55))</x:f>
      </x:c>
      <x:c r="N56" s="31" t="str">
        <x:f>IF(A56="","Awaiting raw observation",IF(F56="Open circuit","OCV only - no external power",IF(F56="Short circuit","Treatment state - no external power",IF(F56&lt;&gt;"Loaded","Stored separately",IF(AND(G56&lt;&gt;"",H56&lt;&gt;""),"Calculated from compatible loaded data","Awaiting loaded V + R or measured I")))))</x:f>
        <x:v>Awaiting raw observation</x:v>
      </x:c>
    </x:row>
    <x:row r="57">
      <x:c r="A57" s="31" t="str">
        <x:f>IF('Raw Measurements'!A57="","",'Raw Measurements'!A57)</x:f>
      </x:c>
      <x:c r="B57" s="31" t="str">
        <x:f>IF('Raw Measurements'!A57="","",'Raw Measurements'!B57)</x:f>
      </x:c>
      <x:c r="C57" s="31" t="str">
        <x:f>IF('Raw Measurements'!A57="","",'Raw Measurements'!C57)</x:f>
      </x:c>
      <x:c r="D57" s="31" t="str">
        <x:f>IF('Raw Measurements'!A57="","",'Raw Measurements'!E57)</x:f>
      </x:c>
      <x:c r="E57" s="31" t="str">
        <x:f>IF('Raw Measurements'!A57="","",'Raw Measurements'!G57)</x:f>
      </x:c>
      <x:c r="F57" s="31" t="str">
        <x:f>IF('Raw Measurements'!A57="","",'Raw Measurements'!J57)</x:f>
      </x:c>
      <x:c r="G57" s="34" t="str">
        <x:f>IF(OR('Raw Measurements'!J57&lt;&gt;"Loaded",'Raw Measurements'!K57=""),"",'Raw Measurements'!K57/1000)</x:f>
      </x:c>
      <x:c r="H57" s="34" t="str">
        <x:f>IF('Raw Measurements'!J57&lt;&gt;"Loaded","",IF('Raw Measurements'!N57&lt;&gt;"",'Raw Measurements'!N57,IF(AND('Raw Measurements'!K57&lt;&gt;"",'Raw Measurements'!M57&gt;0),'Raw Measurements'!K57/'Raw Measurements'!M57,"")))</x:f>
      </x:c>
      <x:c r="I57" s="34" t="str">
        <x:f>IF(OR(G57="",H57=""),"",G57*H57)</x:f>
      </x:c>
      <x:c r="J57" s="34" t="str">
        <x:f>IF('Experiment Metadata'!B30="","",'Experiment Metadata'!B30)</x:f>
      </x:c>
      <x:c r="K57" s="34" t="str">
        <x:f>IF(OR(I57="",J57="",J57&lt;=0),"",I57*10000/J57)</x:f>
      </x:c>
      <x:c r="L57" s="34" t="str">
        <x:f>IF(OR('Raw Measurements'!X57="",'Raw Measurements'!Y57="",'Raw Measurements'!X57&lt;=0),"",('Raw Measurements'!X57-'Raw Measurements'!Y57)/'Raw Measurements'!X57*100)</x:f>
      </x:c>
      <x:c r="M57" s="34" t="str">
        <x:f>IF(OR(A57="",A56="",I57="",I56="",C57&lt;&gt;C56,D57&lt;&gt;D56,E57&lt;=E56),"",(I57+I56)/2*(E57-E56))</x:f>
      </x:c>
      <x:c r="N57" s="31" t="str">
        <x:f>IF(A57="","Awaiting raw observation",IF(F57="Open circuit","OCV only - no external power",IF(F57="Short circuit","Treatment state - no external power",IF(F57&lt;&gt;"Loaded","Stored separately",IF(AND(G57&lt;&gt;"",H57&lt;&gt;""),"Calculated from compatible loaded data","Awaiting loaded V + R or measured I")))))</x:f>
        <x:v>Awaiting raw observation</x:v>
      </x:c>
    </x:row>
    <x:row r="58">
      <x:c r="A58" s="31" t="str">
        <x:f>IF('Raw Measurements'!A58="","",'Raw Measurements'!A58)</x:f>
      </x:c>
      <x:c r="B58" s="31" t="str">
        <x:f>IF('Raw Measurements'!A58="","",'Raw Measurements'!B58)</x:f>
      </x:c>
      <x:c r="C58" s="31" t="str">
        <x:f>IF('Raw Measurements'!A58="","",'Raw Measurements'!C58)</x:f>
      </x:c>
      <x:c r="D58" s="31" t="str">
        <x:f>IF('Raw Measurements'!A58="","",'Raw Measurements'!E58)</x:f>
      </x:c>
      <x:c r="E58" s="31" t="str">
        <x:f>IF('Raw Measurements'!A58="","",'Raw Measurements'!G58)</x:f>
      </x:c>
      <x:c r="F58" s="31" t="str">
        <x:f>IF('Raw Measurements'!A58="","",'Raw Measurements'!J58)</x:f>
      </x:c>
      <x:c r="G58" s="34" t="str">
        <x:f>IF(OR('Raw Measurements'!J58&lt;&gt;"Loaded",'Raw Measurements'!K58=""),"",'Raw Measurements'!K58/1000)</x:f>
      </x:c>
      <x:c r="H58" s="34" t="str">
        <x:f>IF('Raw Measurements'!J58&lt;&gt;"Loaded","",IF('Raw Measurements'!N58&lt;&gt;"",'Raw Measurements'!N58,IF(AND('Raw Measurements'!K58&lt;&gt;"",'Raw Measurements'!M58&gt;0),'Raw Measurements'!K58/'Raw Measurements'!M58,"")))</x:f>
      </x:c>
      <x:c r="I58" s="34" t="str">
        <x:f>IF(OR(G58="",H58=""),"",G58*H58)</x:f>
      </x:c>
      <x:c r="J58" s="34" t="str">
        <x:f>IF('Experiment Metadata'!B30="","",'Experiment Metadata'!B30)</x:f>
      </x:c>
      <x:c r="K58" s="34" t="str">
        <x:f>IF(OR(I58="",J58="",J58&lt;=0),"",I58*10000/J58)</x:f>
      </x:c>
      <x:c r="L58" s="34" t="str">
        <x:f>IF(OR('Raw Measurements'!X58="",'Raw Measurements'!Y58="",'Raw Measurements'!X58&lt;=0),"",('Raw Measurements'!X58-'Raw Measurements'!Y58)/'Raw Measurements'!X58*100)</x:f>
      </x:c>
      <x:c r="M58" s="34" t="str">
        <x:f>IF(OR(A58="",A57="",I58="",I57="",C58&lt;&gt;C57,D58&lt;&gt;D57,E58&lt;=E57),"",(I58+I57)/2*(E58-E57))</x:f>
      </x:c>
      <x:c r="N58" s="31" t="str">
        <x:f>IF(A58="","Awaiting raw observation",IF(F58="Open circuit","OCV only - no external power",IF(F58="Short circuit","Treatment state - no external power",IF(F58&lt;&gt;"Loaded","Stored separately",IF(AND(G58&lt;&gt;"",H58&lt;&gt;""),"Calculated from compatible loaded data","Awaiting loaded V + R or measured I")))))</x:f>
        <x:v>Awaiting raw observation</x:v>
      </x:c>
    </x:row>
    <x:row r="59">
      <x:c r="A59" s="31" t="str">
        <x:f>IF('Raw Measurements'!A59="","",'Raw Measurements'!A59)</x:f>
      </x:c>
      <x:c r="B59" s="31" t="str">
        <x:f>IF('Raw Measurements'!A59="","",'Raw Measurements'!B59)</x:f>
      </x:c>
      <x:c r="C59" s="31" t="str">
        <x:f>IF('Raw Measurements'!A59="","",'Raw Measurements'!C59)</x:f>
      </x:c>
      <x:c r="D59" s="31" t="str">
        <x:f>IF('Raw Measurements'!A59="","",'Raw Measurements'!E59)</x:f>
      </x:c>
      <x:c r="E59" s="31" t="str">
        <x:f>IF('Raw Measurements'!A59="","",'Raw Measurements'!G59)</x:f>
      </x:c>
      <x:c r="F59" s="31" t="str">
        <x:f>IF('Raw Measurements'!A59="","",'Raw Measurements'!J59)</x:f>
      </x:c>
      <x:c r="G59" s="34" t="str">
        <x:f>IF(OR('Raw Measurements'!J59&lt;&gt;"Loaded",'Raw Measurements'!K59=""),"",'Raw Measurements'!K59/1000)</x:f>
      </x:c>
      <x:c r="H59" s="34" t="str">
        <x:f>IF('Raw Measurements'!J59&lt;&gt;"Loaded","",IF('Raw Measurements'!N59&lt;&gt;"",'Raw Measurements'!N59,IF(AND('Raw Measurements'!K59&lt;&gt;"",'Raw Measurements'!M59&gt;0),'Raw Measurements'!K59/'Raw Measurements'!M59,"")))</x:f>
      </x:c>
      <x:c r="I59" s="34" t="str">
        <x:f>IF(OR(G59="",H59=""),"",G59*H59)</x:f>
      </x:c>
      <x:c r="J59" s="34" t="str">
        <x:f>IF('Experiment Metadata'!B30="","",'Experiment Metadata'!B30)</x:f>
      </x:c>
      <x:c r="K59" s="34" t="str">
        <x:f>IF(OR(I59="",J59="",J59&lt;=0),"",I59*10000/J59)</x:f>
      </x:c>
      <x:c r="L59" s="34" t="str">
        <x:f>IF(OR('Raw Measurements'!X59="",'Raw Measurements'!Y59="",'Raw Measurements'!X59&lt;=0),"",('Raw Measurements'!X59-'Raw Measurements'!Y59)/'Raw Measurements'!X59*100)</x:f>
      </x:c>
      <x:c r="M59" s="34" t="str">
        <x:f>IF(OR(A59="",A58="",I59="",I58="",C59&lt;&gt;C58,D59&lt;&gt;D58,E59&lt;=E58),"",(I59+I58)/2*(E59-E58))</x:f>
      </x:c>
      <x:c r="N59" s="31" t="str">
        <x:f>IF(A59="","Awaiting raw observation",IF(F59="Open circuit","OCV only - no external power",IF(F59="Short circuit","Treatment state - no external power",IF(F59&lt;&gt;"Loaded","Stored separately",IF(AND(G59&lt;&gt;"",H59&lt;&gt;""),"Calculated from compatible loaded data","Awaiting loaded V + R or measured I")))))</x:f>
        <x:v>Awaiting raw observation</x:v>
      </x:c>
    </x:row>
    <x:row r="60">
      <x:c r="A60" s="31" t="str">
        <x:f>IF('Raw Measurements'!A60="","",'Raw Measurements'!A60)</x:f>
      </x:c>
      <x:c r="B60" s="31" t="str">
        <x:f>IF('Raw Measurements'!A60="","",'Raw Measurements'!B60)</x:f>
      </x:c>
      <x:c r="C60" s="31" t="str">
        <x:f>IF('Raw Measurements'!A60="","",'Raw Measurements'!C60)</x:f>
      </x:c>
      <x:c r="D60" s="31" t="str">
        <x:f>IF('Raw Measurements'!A60="","",'Raw Measurements'!E60)</x:f>
      </x:c>
      <x:c r="E60" s="31" t="str">
        <x:f>IF('Raw Measurements'!A60="","",'Raw Measurements'!G60)</x:f>
      </x:c>
      <x:c r="F60" s="31" t="str">
        <x:f>IF('Raw Measurements'!A60="","",'Raw Measurements'!J60)</x:f>
      </x:c>
      <x:c r="G60" s="34" t="str">
        <x:f>IF(OR('Raw Measurements'!J60&lt;&gt;"Loaded",'Raw Measurements'!K60=""),"",'Raw Measurements'!K60/1000)</x:f>
      </x:c>
      <x:c r="H60" s="34" t="str">
        <x:f>IF('Raw Measurements'!J60&lt;&gt;"Loaded","",IF('Raw Measurements'!N60&lt;&gt;"",'Raw Measurements'!N60,IF(AND('Raw Measurements'!K60&lt;&gt;"",'Raw Measurements'!M60&gt;0),'Raw Measurements'!K60/'Raw Measurements'!M60,"")))</x:f>
      </x:c>
      <x:c r="I60" s="34" t="str">
        <x:f>IF(OR(G60="",H60=""),"",G60*H60)</x:f>
      </x:c>
      <x:c r="J60" s="34" t="str">
        <x:f>IF('Experiment Metadata'!B30="","",'Experiment Metadata'!B30)</x:f>
      </x:c>
      <x:c r="K60" s="34" t="str">
        <x:f>IF(OR(I60="",J60="",J60&lt;=0),"",I60*10000/J60)</x:f>
      </x:c>
      <x:c r="L60" s="34" t="str">
        <x:f>IF(OR('Raw Measurements'!X60="",'Raw Measurements'!Y60="",'Raw Measurements'!X60&lt;=0),"",('Raw Measurements'!X60-'Raw Measurements'!Y60)/'Raw Measurements'!X60*100)</x:f>
      </x:c>
      <x:c r="M60" s="34" t="str">
        <x:f>IF(OR(A60="",A59="",I60="",I59="",C60&lt;&gt;C59,D60&lt;&gt;D59,E60&lt;=E59),"",(I60+I59)/2*(E60-E59))</x:f>
      </x:c>
      <x:c r="N60" s="31" t="str">
        <x:f>IF(A60="","Awaiting raw observation",IF(F60="Open circuit","OCV only - no external power",IF(F60="Short circuit","Treatment state - no external power",IF(F60&lt;&gt;"Loaded","Stored separately",IF(AND(G60&lt;&gt;"",H60&lt;&gt;""),"Calculated from compatible loaded data","Awaiting loaded V + R or measured I")))))</x:f>
        <x:v>Awaiting raw observation</x:v>
      </x:c>
    </x:row>
    <x:row r="61">
      <x:c r="A61" s="31" t="str">
        <x:f>IF('Raw Measurements'!A61="","",'Raw Measurements'!A61)</x:f>
      </x:c>
      <x:c r="B61" s="31" t="str">
        <x:f>IF('Raw Measurements'!A61="","",'Raw Measurements'!B61)</x:f>
      </x:c>
      <x:c r="C61" s="31" t="str">
        <x:f>IF('Raw Measurements'!A61="","",'Raw Measurements'!C61)</x:f>
      </x:c>
      <x:c r="D61" s="31" t="str">
        <x:f>IF('Raw Measurements'!A61="","",'Raw Measurements'!E61)</x:f>
      </x:c>
      <x:c r="E61" s="31" t="str">
        <x:f>IF('Raw Measurements'!A61="","",'Raw Measurements'!G61)</x:f>
      </x:c>
      <x:c r="F61" s="31" t="str">
        <x:f>IF('Raw Measurements'!A61="","",'Raw Measurements'!J61)</x:f>
      </x:c>
      <x:c r="G61" s="34" t="str">
        <x:f>IF(OR('Raw Measurements'!J61&lt;&gt;"Loaded",'Raw Measurements'!K61=""),"",'Raw Measurements'!K61/1000)</x:f>
      </x:c>
      <x:c r="H61" s="34" t="str">
        <x:f>IF('Raw Measurements'!J61&lt;&gt;"Loaded","",IF('Raw Measurements'!N61&lt;&gt;"",'Raw Measurements'!N61,IF(AND('Raw Measurements'!K61&lt;&gt;"",'Raw Measurements'!M61&gt;0),'Raw Measurements'!K61/'Raw Measurements'!M61,"")))</x:f>
      </x:c>
      <x:c r="I61" s="34" t="str">
        <x:f>IF(OR(G61="",H61=""),"",G61*H61)</x:f>
      </x:c>
      <x:c r="J61" s="34" t="str">
        <x:f>IF('Experiment Metadata'!B30="","",'Experiment Metadata'!B30)</x:f>
      </x:c>
      <x:c r="K61" s="34" t="str">
        <x:f>IF(OR(I61="",J61="",J61&lt;=0),"",I61*10000/J61)</x:f>
      </x:c>
      <x:c r="L61" s="34" t="str">
        <x:f>IF(OR('Raw Measurements'!X61="",'Raw Measurements'!Y61="",'Raw Measurements'!X61&lt;=0),"",('Raw Measurements'!X61-'Raw Measurements'!Y61)/'Raw Measurements'!X61*100)</x:f>
      </x:c>
      <x:c r="M61" s="34" t="str">
        <x:f>IF(OR(A61="",A60="",I61="",I60="",C61&lt;&gt;C60,D61&lt;&gt;D60,E61&lt;=E60),"",(I61+I60)/2*(E61-E60))</x:f>
      </x:c>
      <x:c r="N61" s="31" t="str">
        <x:f>IF(A61="","Awaiting raw observation",IF(F61="Open circuit","OCV only - no external power",IF(F61="Short circuit","Treatment state - no external power",IF(F61&lt;&gt;"Loaded","Stored separately",IF(AND(G61&lt;&gt;"",H61&lt;&gt;""),"Calculated from compatible loaded data","Awaiting loaded V + R or measured I")))))</x:f>
        <x:v>Awaiting raw observation</x:v>
      </x:c>
    </x:row>
    <x:row r="62">
      <x:c r="A62" s="31" t="str">
        <x:f>IF('Raw Measurements'!A62="","",'Raw Measurements'!A62)</x:f>
      </x:c>
      <x:c r="B62" s="31" t="str">
        <x:f>IF('Raw Measurements'!A62="","",'Raw Measurements'!B62)</x:f>
      </x:c>
      <x:c r="C62" s="31" t="str">
        <x:f>IF('Raw Measurements'!A62="","",'Raw Measurements'!C62)</x:f>
      </x:c>
      <x:c r="D62" s="31" t="str">
        <x:f>IF('Raw Measurements'!A62="","",'Raw Measurements'!E62)</x:f>
      </x:c>
      <x:c r="E62" s="31" t="str">
        <x:f>IF('Raw Measurements'!A62="","",'Raw Measurements'!G62)</x:f>
      </x:c>
      <x:c r="F62" s="31" t="str">
        <x:f>IF('Raw Measurements'!A62="","",'Raw Measurements'!J62)</x:f>
      </x:c>
      <x:c r="G62" s="34" t="str">
        <x:f>IF(OR('Raw Measurements'!J62&lt;&gt;"Loaded",'Raw Measurements'!K62=""),"",'Raw Measurements'!K62/1000)</x:f>
      </x:c>
      <x:c r="H62" s="34" t="str">
        <x:f>IF('Raw Measurements'!J62&lt;&gt;"Loaded","",IF('Raw Measurements'!N62&lt;&gt;"",'Raw Measurements'!N62,IF(AND('Raw Measurements'!K62&lt;&gt;"",'Raw Measurements'!M62&gt;0),'Raw Measurements'!K62/'Raw Measurements'!M62,"")))</x:f>
      </x:c>
      <x:c r="I62" s="34" t="str">
        <x:f>IF(OR(G62="",H62=""),"",G62*H62)</x:f>
      </x:c>
      <x:c r="J62" s="34" t="str">
        <x:f>IF('Experiment Metadata'!B30="","",'Experiment Metadata'!B30)</x:f>
      </x:c>
      <x:c r="K62" s="34" t="str">
        <x:f>IF(OR(I62="",J62="",J62&lt;=0),"",I62*10000/J62)</x:f>
      </x:c>
      <x:c r="L62" s="34" t="str">
        <x:f>IF(OR('Raw Measurements'!X62="",'Raw Measurements'!Y62="",'Raw Measurements'!X62&lt;=0),"",('Raw Measurements'!X62-'Raw Measurements'!Y62)/'Raw Measurements'!X62*100)</x:f>
      </x:c>
      <x:c r="M62" s="34" t="str">
        <x:f>IF(OR(A62="",A61="",I62="",I61="",C62&lt;&gt;C61,D62&lt;&gt;D61,E62&lt;=E61),"",(I62+I61)/2*(E62-E61))</x:f>
      </x:c>
      <x:c r="N62" s="31" t="str">
        <x:f>IF(A62="","Awaiting raw observation",IF(F62="Open circuit","OCV only - no external power",IF(F62="Short circuit","Treatment state - no external power",IF(F62&lt;&gt;"Loaded","Stored separately",IF(AND(G62&lt;&gt;"",H62&lt;&gt;""),"Calculated from compatible loaded data","Awaiting loaded V + R or measured I")))))</x:f>
        <x:v>Awaiting raw observation</x:v>
      </x:c>
    </x:row>
    <x:row r="63">
      <x:c r="A63" s="31" t="str">
        <x:f>IF('Raw Measurements'!A63="","",'Raw Measurements'!A63)</x:f>
      </x:c>
      <x:c r="B63" s="31" t="str">
        <x:f>IF('Raw Measurements'!A63="","",'Raw Measurements'!B63)</x:f>
      </x:c>
      <x:c r="C63" s="31" t="str">
        <x:f>IF('Raw Measurements'!A63="","",'Raw Measurements'!C63)</x:f>
      </x:c>
      <x:c r="D63" s="31" t="str">
        <x:f>IF('Raw Measurements'!A63="","",'Raw Measurements'!E63)</x:f>
      </x:c>
      <x:c r="E63" s="31" t="str">
        <x:f>IF('Raw Measurements'!A63="","",'Raw Measurements'!G63)</x:f>
      </x:c>
      <x:c r="F63" s="31" t="str">
        <x:f>IF('Raw Measurements'!A63="","",'Raw Measurements'!J63)</x:f>
      </x:c>
      <x:c r="G63" s="34" t="str">
        <x:f>IF(OR('Raw Measurements'!J63&lt;&gt;"Loaded",'Raw Measurements'!K63=""),"",'Raw Measurements'!K63/1000)</x:f>
      </x:c>
      <x:c r="H63" s="34" t="str">
        <x:f>IF('Raw Measurements'!J63&lt;&gt;"Loaded","",IF('Raw Measurements'!N63&lt;&gt;"",'Raw Measurements'!N63,IF(AND('Raw Measurements'!K63&lt;&gt;"",'Raw Measurements'!M63&gt;0),'Raw Measurements'!K63/'Raw Measurements'!M63,"")))</x:f>
      </x:c>
      <x:c r="I63" s="34" t="str">
        <x:f>IF(OR(G63="",H63=""),"",G63*H63)</x:f>
      </x:c>
      <x:c r="J63" s="34" t="str">
        <x:f>IF('Experiment Metadata'!B30="","",'Experiment Metadata'!B30)</x:f>
      </x:c>
      <x:c r="K63" s="34" t="str">
        <x:f>IF(OR(I63="",J63="",J63&lt;=0),"",I63*10000/J63)</x:f>
      </x:c>
      <x:c r="L63" s="34" t="str">
        <x:f>IF(OR('Raw Measurements'!X63="",'Raw Measurements'!Y63="",'Raw Measurements'!X63&lt;=0),"",('Raw Measurements'!X63-'Raw Measurements'!Y63)/'Raw Measurements'!X63*100)</x:f>
      </x:c>
      <x:c r="M63" s="34" t="str">
        <x:f>IF(OR(A63="",A62="",I63="",I62="",C63&lt;&gt;C62,D63&lt;&gt;D62,E63&lt;=E62),"",(I63+I62)/2*(E63-E62))</x:f>
      </x:c>
      <x:c r="N63" s="31" t="str">
        <x:f>IF(A63="","Awaiting raw observation",IF(F63="Open circuit","OCV only - no external power",IF(F63="Short circuit","Treatment state - no external power",IF(F63&lt;&gt;"Loaded","Stored separately",IF(AND(G63&lt;&gt;"",H63&lt;&gt;""),"Calculated from compatible loaded data","Awaiting loaded V + R or measured I")))))</x:f>
        <x:v>Awaiting raw observation</x:v>
      </x:c>
    </x:row>
    <x:row r="64">
      <x:c r="A64" s="31" t="str">
        <x:f>IF('Raw Measurements'!A64="","",'Raw Measurements'!A64)</x:f>
      </x:c>
      <x:c r="B64" s="31" t="str">
        <x:f>IF('Raw Measurements'!A64="","",'Raw Measurements'!B64)</x:f>
      </x:c>
      <x:c r="C64" s="31" t="str">
        <x:f>IF('Raw Measurements'!A64="","",'Raw Measurements'!C64)</x:f>
      </x:c>
      <x:c r="D64" s="31" t="str">
        <x:f>IF('Raw Measurements'!A64="","",'Raw Measurements'!E64)</x:f>
      </x:c>
      <x:c r="E64" s="31" t="str">
        <x:f>IF('Raw Measurements'!A64="","",'Raw Measurements'!G64)</x:f>
      </x:c>
      <x:c r="F64" s="31" t="str">
        <x:f>IF('Raw Measurements'!A64="","",'Raw Measurements'!J64)</x:f>
      </x:c>
      <x:c r="G64" s="34" t="str">
        <x:f>IF(OR('Raw Measurements'!J64&lt;&gt;"Loaded",'Raw Measurements'!K64=""),"",'Raw Measurements'!K64/1000)</x:f>
      </x:c>
      <x:c r="H64" s="34" t="str">
        <x:f>IF('Raw Measurements'!J64&lt;&gt;"Loaded","",IF('Raw Measurements'!N64&lt;&gt;"",'Raw Measurements'!N64,IF(AND('Raw Measurements'!K64&lt;&gt;"",'Raw Measurements'!M64&gt;0),'Raw Measurements'!K64/'Raw Measurements'!M64,"")))</x:f>
      </x:c>
      <x:c r="I64" s="34" t="str">
        <x:f>IF(OR(G64="",H64=""),"",G64*H64)</x:f>
      </x:c>
      <x:c r="J64" s="34" t="str">
        <x:f>IF('Experiment Metadata'!B30="","",'Experiment Metadata'!B30)</x:f>
      </x:c>
      <x:c r="K64" s="34" t="str">
        <x:f>IF(OR(I64="",J64="",J64&lt;=0),"",I64*10000/J64)</x:f>
      </x:c>
      <x:c r="L64" s="34" t="str">
        <x:f>IF(OR('Raw Measurements'!X64="",'Raw Measurements'!Y64="",'Raw Measurements'!X64&lt;=0),"",('Raw Measurements'!X64-'Raw Measurements'!Y64)/'Raw Measurements'!X64*100)</x:f>
      </x:c>
      <x:c r="M64" s="34" t="str">
        <x:f>IF(OR(A64="",A63="",I64="",I63="",C64&lt;&gt;C63,D64&lt;&gt;D63,E64&lt;=E63),"",(I64+I63)/2*(E64-E63))</x:f>
      </x:c>
      <x:c r="N64" s="31" t="str">
        <x:f>IF(A64="","Awaiting raw observation",IF(F64="Open circuit","OCV only - no external power",IF(F64="Short circuit","Treatment state - no external power",IF(F64&lt;&gt;"Loaded","Stored separately",IF(AND(G64&lt;&gt;"",H64&lt;&gt;""),"Calculated from compatible loaded data","Awaiting loaded V + R or measured I")))))</x:f>
        <x:v>Awaiting raw observation</x:v>
      </x:c>
    </x:row>
    <x:row r="65">
      <x:c r="A65" s="31" t="str">
        <x:f>IF('Raw Measurements'!A65="","",'Raw Measurements'!A65)</x:f>
      </x:c>
      <x:c r="B65" s="31" t="str">
        <x:f>IF('Raw Measurements'!A65="","",'Raw Measurements'!B65)</x:f>
      </x:c>
      <x:c r="C65" s="31" t="str">
        <x:f>IF('Raw Measurements'!A65="","",'Raw Measurements'!C65)</x:f>
      </x:c>
      <x:c r="D65" s="31" t="str">
        <x:f>IF('Raw Measurements'!A65="","",'Raw Measurements'!E65)</x:f>
      </x:c>
      <x:c r="E65" s="31" t="str">
        <x:f>IF('Raw Measurements'!A65="","",'Raw Measurements'!G65)</x:f>
      </x:c>
      <x:c r="F65" s="31" t="str">
        <x:f>IF('Raw Measurements'!A65="","",'Raw Measurements'!J65)</x:f>
      </x:c>
      <x:c r="G65" s="34" t="str">
        <x:f>IF(OR('Raw Measurements'!J65&lt;&gt;"Loaded",'Raw Measurements'!K65=""),"",'Raw Measurements'!K65/1000)</x:f>
      </x:c>
      <x:c r="H65" s="34" t="str">
        <x:f>IF('Raw Measurements'!J65&lt;&gt;"Loaded","",IF('Raw Measurements'!N65&lt;&gt;"",'Raw Measurements'!N65,IF(AND('Raw Measurements'!K65&lt;&gt;"",'Raw Measurements'!M65&gt;0),'Raw Measurements'!K65/'Raw Measurements'!M65,"")))</x:f>
      </x:c>
      <x:c r="I65" s="34" t="str">
        <x:f>IF(OR(G65="",H65=""),"",G65*H65)</x:f>
      </x:c>
      <x:c r="J65" s="34" t="str">
        <x:f>IF('Experiment Metadata'!B30="","",'Experiment Metadata'!B30)</x:f>
      </x:c>
      <x:c r="K65" s="34" t="str">
        <x:f>IF(OR(I65="",J65="",J65&lt;=0),"",I65*10000/J65)</x:f>
      </x:c>
      <x:c r="L65" s="34" t="str">
        <x:f>IF(OR('Raw Measurements'!X65="",'Raw Measurements'!Y65="",'Raw Measurements'!X65&lt;=0),"",('Raw Measurements'!X65-'Raw Measurements'!Y65)/'Raw Measurements'!X65*100)</x:f>
      </x:c>
      <x:c r="M65" s="34" t="str">
        <x:f>IF(OR(A65="",A64="",I65="",I64="",C65&lt;&gt;C64,D65&lt;&gt;D64,E65&lt;=E64),"",(I65+I64)/2*(E65-E64))</x:f>
      </x:c>
      <x:c r="N65" s="31" t="str">
        <x:f>IF(A65="","Awaiting raw observation",IF(F65="Open circuit","OCV only - no external power",IF(F65="Short circuit","Treatment state - no external power",IF(F65&lt;&gt;"Loaded","Stored separately",IF(AND(G65&lt;&gt;"",H65&lt;&gt;""),"Calculated from compatible loaded data","Awaiting loaded V + R or measured I")))))</x:f>
        <x:v>Awaiting raw observation</x:v>
      </x:c>
    </x:row>
    <x:row r="66">
      <x:c r="A66" s="35" t="str">
        <x:f>IF('Raw Measurements'!A66="","",'Raw Measurements'!A66)</x:f>
      </x:c>
      <x:c r="B66" s="35" t="str">
        <x:f>IF('Raw Measurements'!A66="","",'Raw Measurements'!B66)</x:f>
      </x:c>
      <x:c r="C66" s="35" t="str">
        <x:f>IF('Raw Measurements'!A66="","",'Raw Measurements'!C66)</x:f>
      </x:c>
      <x:c r="D66" s="35" t="str">
        <x:f>IF('Raw Measurements'!A66="","",'Raw Measurements'!E66)</x:f>
      </x:c>
      <x:c r="E66" s="35" t="str">
        <x:f>IF('Raw Measurements'!A66="","",'Raw Measurements'!G66)</x:f>
      </x:c>
      <x:c r="F66" s="35" t="str">
        <x:f>IF('Raw Measurements'!A66="","",'Raw Measurements'!J66)</x:f>
      </x:c>
      <x:c r="G66" s="38" t="str">
        <x:f>IF(OR('Raw Measurements'!J66&lt;&gt;"Loaded",'Raw Measurements'!K66=""),"",'Raw Measurements'!K66/1000)</x:f>
      </x:c>
      <x:c r="H66" s="38" t="str">
        <x:f>IF('Raw Measurements'!J66&lt;&gt;"Loaded","",IF('Raw Measurements'!N66&lt;&gt;"",'Raw Measurements'!N66,IF(AND('Raw Measurements'!K66&lt;&gt;"",'Raw Measurements'!M66&gt;0),'Raw Measurements'!K66/'Raw Measurements'!M66,"")))</x:f>
      </x:c>
      <x:c r="I66" s="38" t="str">
        <x:f>IF(OR(G66="",H66=""),"",G66*H66)</x:f>
      </x:c>
      <x:c r="J66" s="38" t="str">
        <x:f>IF('Experiment Metadata'!B30="","",'Experiment Metadata'!B30)</x:f>
      </x:c>
      <x:c r="K66" s="38" t="str">
        <x:f>IF(OR(I66="",J66="",J66&lt;=0),"",I66*10000/J66)</x:f>
      </x:c>
      <x:c r="L66" s="38" t="str">
        <x:f>IF(OR('Raw Measurements'!X66="",'Raw Measurements'!Y66="",'Raw Measurements'!X66&lt;=0),"",('Raw Measurements'!X66-'Raw Measurements'!Y66)/'Raw Measurements'!X66*100)</x:f>
      </x:c>
      <x:c r="M66" s="38" t="str">
        <x:f>IF(OR(A66="",A65="",I66="",I65="",C66&lt;&gt;C65,D66&lt;&gt;D65,E66&lt;=E65),"",(I66+I65)/2*(E66-E65))</x:f>
      </x:c>
      <x:c r="N66" s="35" t="str">
        <x:f>IF(A66="","Awaiting raw observation",IF(F66="Open circuit","OCV only - no external power",IF(F66="Short circuit","Treatment state - no external power",IF(F66&lt;&gt;"Loaded","Stored separately",IF(AND(G66&lt;&gt;"",H66&lt;&gt;""),"Calculated from compatible loaded data","Awaiting loaded V + R or measured I")))))</x:f>
        <x:v>Awaiting raw observation</x:v>
      </x:c>
    </x:row>
  </x:sheetData>
  <x:mergeCells>
    <x:mergeCell ref="A1:N1"/>
    <x:mergeCell ref="A2:N2"/>
    <x:mergeCell ref="A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8" hidden="0" customWidth="1"/>
    <x:col min="4" max="4" width="41" hidden="0" customWidth="1"/>
    <x:col min="5" max="5" width="41" hidden="0" customWidth="1"/>
    <x:col min="6" max="6" width="29" hidden="0" customWidth="1"/>
  </x:cols>
  <x:sheetData>
    <x:row r="1" ht="34" customHeight="1">
      <x:c r="A1" s="5" t="str">
        <x:v>Run results and completeness</x:v>
      </x:c>
      <x:c r="B1" s="2"/>
      <x:c r="C1" s="2"/>
      <x:c r="D1" s="2"/>
      <x:c r="E1" s="2"/>
      <x:c r="F1" s="2"/>
      <x:c r="G1" s="2"/>
      <x:c r="H1" s="2"/>
    </x:row>
    <x:row r="2" ht="23" customHeight="1">
      <x:c r="A2" s="8" t="str">
        <x:v>Formula-linked summary - empty until compatible raw measurements are entered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14" t="str">
        <x:v>Metric</x:v>
      </x:c>
      <x:c r="B4" s="14" t="str">
        <x:v>Value</x:v>
      </x:c>
      <x:c r="C4" s="14" t="str">
        <x:v>Unit</x:v>
      </x:c>
      <x:c r="D4" s="14" t="str">
        <x:v>Interpretation</x:v>
      </x:c>
      <x:c r="E4" s="14" t="str">
        <x:v>Required evidence</x:v>
      </x:c>
      <x:c r="F4" s="14" t="str">
        <x:v>Status</x:v>
      </x:c>
      <x:c r="G4" s="2"/>
      <x:c r="H4" s="2"/>
    </x:row>
    <x:row r="5">
      <x:c r="A5" s="20" t="str">
        <x:v>Selected protocol</x:v>
      </x:c>
      <x:c r="B5" s="2" t="n">
        <x:f>'Experiment Metadata'!B8</x:f>
        <x:v>0</x:v>
      </x:c>
      <x:c r="C5" s="2" t="str">
        <x:v>Protocol_ID</x:v>
      </x:c>
      <x:c r="D5" s="2" t="str">
        <x:v>Profile declared before operation</x:v>
      </x:c>
      <x:c r="E5" s="2" t="str">
        <x:v>Metadata selection</x:v>
      </x:c>
      <x:c r="F5" s="2" t="str">
        <x:f>IF(B5="","Select protocol","Declared")</x:f>
        <x:v>Select protocol</x:v>
      </x:c>
      <x:c r="G5" s="2"/>
      <x:c r="H5" s="2"/>
    </x:row>
    <x:row r="6">
      <x:c r="A6" s="20" t="str">
        <x:v>Loaded-voltage observations</x:v>
      </x:c>
      <x:c r="B6" s="26" t="str">
        <x:f>IF(COUNT('Raw Measurements'!K7:K66)=0,"",COUNT('Raw Measurements'!K7:K66))</x:f>
      </x:c>
      <x:c r="C6" s="2" t="str">
        <x:v>count</x:v>
      </x:c>
      <x:c r="D6" s="2" t="str">
        <x:v>Number of compatible loaded-circuit readings</x:v>
      </x:c>
      <x:c r="E6" s="2" t="str">
        <x:v>Circuit state + loaded voltage</x:v>
      </x:c>
      <x:c r="F6" s="2" t="str">
        <x:f>IF(B6="","No compatible data","Ready")</x:f>
        <x:v>No compatible data</x:v>
      </x:c>
      <x:c r="G6" s="2"/>
      <x:c r="H6" s="2"/>
    </x:row>
    <x:row r="7">
      <x:c r="A7" s="20" t="str">
        <x:v>Peak loaded voltage</x:v>
      </x:c>
      <x:c r="B7" s="26" t="str">
        <x:f>IF(COUNT('Raw Measurements'!K7:K66)=0,"",MAX('Raw Measurements'!K7:K66))</x:f>
      </x:c>
      <x:c r="C7" s="2" t="str">
        <x:v>mV</x:v>
      </x:c>
      <x:c r="D7" s="2" t="str">
        <x:v>Maximum observed loaded-circuit voltage</x:v>
      </x:c>
      <x:c r="E7" s="2" t="str">
        <x:v>Loaded voltage</x:v>
      </x:c>
      <x:c r="F7" s="2" t="str">
        <x:f>IF(B7="","Missing","Calculated")</x:f>
        <x:v>Missing</x:v>
      </x:c>
      <x:c r="G7" s="2"/>
      <x:c r="H7" s="2"/>
    </x:row>
    <x:row r="8">
      <x:c r="A8" s="20" t="str">
        <x:v>Peak electrical power</x:v>
      </x:c>
      <x:c r="B8" s="26" t="str">
        <x:f>IF(COUNT('Calculations'!I7:I66)=0,"",MAX('Calculations'!I7:I66))</x:f>
      </x:c>
      <x:c r="C8" s="2" t="str">
        <x:v>mW</x:v>
      </x:c>
      <x:c r="D8" s="2" t="str">
        <x:v>Maximum formula-derived power</x:v>
      </x:c>
      <x:c r="E8" s="2" t="str">
        <x:v>Loaded V + R or measured I</x:v>
      </x:c>
      <x:c r="F8" s="2" t="str">
        <x:f>IF(B8="","Missing load evidence","Calculated")</x:f>
        <x:v>Missing load evidence</x:v>
      </x:c>
      <x:c r="G8" s="2"/>
      <x:c r="H8" s="2"/>
    </x:row>
    <x:row r="9">
      <x:c r="A9" s="20" t="str">
        <x:v>Peak power density</x:v>
      </x:c>
      <x:c r="B9" s="26" t="str">
        <x:f>IF(COUNT('Calculations'!K7:K66)=0,"",MAX('Calculations'!K7:K66))</x:f>
      </x:c>
      <x:c r="C9" s="2" t="str">
        <x:v>mW/m2</x:v>
      </x:c>
      <x:c r="D9" s="2" t="str">
        <x:v>Maximum power normalized to stated area</x:v>
      </x:c>
      <x:c r="E9" s="2" t="str">
        <x:v>Power + exposed area</x:v>
      </x:c>
      <x:c r="F9" s="2" t="str">
        <x:f>IF(B9="","Missing area or power","Calculated")</x:f>
        <x:v>Missing area or power</x:v>
      </x:c>
      <x:c r="G9" s="2"/>
      <x:c r="H9" s="2"/>
    </x:row>
    <x:row r="10">
      <x:c r="A10" s="20" t="str">
        <x:v>Maximum paired COD removal</x:v>
      </x:c>
      <x:c r="B10" s="26" t="str">
        <x:f>IF(COUNT('Calculations'!L7:L66)=0,"",MAX('Calculations'!L7:L66))</x:f>
      </x:c>
      <x:c r="C10" s="2" t="str">
        <x:v>%</x:v>
      </x:c>
      <x:c r="D10" s="2" t="str">
        <x:v>Highest paired COD-removal row</x:v>
      </x:c>
      <x:c r="E10" s="2" t="str">
        <x:v>Initial and final COD</x:v>
      </x:c>
      <x:c r="F10" s="2" t="str">
        <x:f>IF(B10="","Missing paired COD","Calculated")</x:f>
        <x:v>Missing paired COD</x:v>
      </x:c>
      <x:c r="G10" s="2"/>
      <x:c r="H10" s="2"/>
    </x:row>
    <x:row r="11">
      <x:c r="A11" s="20" t="str">
        <x:v>Calculated energy intervals</x:v>
      </x:c>
      <x:c r="B11" s="26" t="str">
        <x:f>IF(COUNT('Calculations'!M7:M66)=0,"",COUNT('Calculations'!M7:M66))</x:f>
      </x:c>
      <x:c r="C11" s="2" t="str">
        <x:v>count</x:v>
      </x:c>
      <x:c r="D11" s="2" t="str">
        <x:v>Sequential compatible loaded-power intervals</x:v>
      </x:c>
      <x:c r="E11" s="2" t="str">
        <x:v>Ordered times in same reactor/cycle</x:v>
      </x:c>
      <x:c r="F11" s="2" t="str">
        <x:f>IF(B11="","Insufficient time series","Intervals available")</x:f>
        <x:v>Insufficient time series</x:v>
      </x:c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41" t="str">
        <x:v>INTERPRETATION BOUNDARY</x:v>
      </x:c>
      <x:c r="B13" s="2"/>
      <x:c r="C13" s="2"/>
      <x:c r="D13" s="2"/>
      <x:c r="E13" s="2"/>
      <x:c r="F13" s="2"/>
      <x:c r="G13" s="2"/>
      <x:c r="H13" s="2"/>
    </x:row>
    <x:row r="14" ht="34" customHeight="1">
      <x:c r="A14" s="21" t="str">
        <x:v>No synthetic schedule</x:v>
      </x:c>
      <x:c r="B14" s="18" t="str">
        <x:v>The workbook does not pre-populate 72-hour rows or invent measurements.</x:v>
      </x:c>
      <x:c r="C14" s="2"/>
      <x:c r="D14" s="2"/>
      <x:c r="E14" s="2"/>
      <x:c r="F14" s="2"/>
      <x:c r="G14" s="2"/>
      <x:c r="H14" s="2"/>
    </x:row>
    <x:row r="15" ht="34" customHeight="1">
      <x:c r="A15" s="21" t="str">
        <x:v>Profile required</x:v>
      </x:c>
      <x:c r="B15" s="18" t="str">
        <x:v>Every raw row should identify the literature profile or a supervisor-approved custom protocol.</x:v>
      </x:c>
      <x:c r="C15" s="2"/>
      <x:c r="D15" s="2"/>
      <x:c r="E15" s="2"/>
      <x:c r="F15" s="2"/>
      <x:c r="G15" s="2"/>
      <x:c r="H15" s="2"/>
    </x:row>
    <x:row r="16" ht="34" customHeight="1">
      <x:c r="A16" s="21" t="str">
        <x:v>Time is observational</x:v>
      </x:c>
      <x:c r="B16" s="18" t="str">
        <x:v>Elapsed time and timestamp are entered only when the observation occurs.</x:v>
      </x:c>
      <x:c r="C16" s="2"/>
      <x:c r="D16" s="2"/>
      <x:c r="E16" s="2"/>
      <x:c r="F16" s="2"/>
      <x:c r="G16" s="2"/>
      <x:c r="H16" s="2"/>
    </x:row>
    <x:row r="17" ht="34" customHeight="1">
      <x:c r="A17" s="21" t="str">
        <x:v>Circuit states separated</x:v>
      </x:c>
      <x:c r="B17" s="18" t="str">
        <x:v>OCV, loaded, polarization, short-circuit and treatment-only states are not pooled.</x:v>
      </x:c>
      <x:c r="C17" s="2"/>
      <x:c r="D17" s="2"/>
      <x:c r="E17" s="2"/>
      <x:c r="F17" s="2"/>
      <x:c r="G17" s="2"/>
      <x:c r="H17" s="2"/>
    </x:row>
    <x:row r="18" ht="34" customHeight="1">
      <x:c r="A18" s="21" t="str">
        <x:v>Cycle-aware energy</x:v>
      </x:c>
      <x:c r="B18" s="18" t="str">
        <x:v>Energy intervals require sequential observations in the same reactor and cycle.</x:v>
      </x:c>
      <x:c r="C18" s="2"/>
      <x:c r="D18" s="2"/>
      <x:c r="E18" s="2"/>
      <x:c r="F18" s="2"/>
      <x:c r="G18" s="2"/>
      <x:c r="H18" s="2"/>
    </x:row>
    <x:row r="19" ht="34" customHeight="1">
      <x:c r="A19" s="21" t="str">
        <x:v>Model readiness</x:v>
      </x:c>
      <x:c r="B19" s="18" t="str">
        <x:v>A digital twin should ingest only validated, timestamped measurements with complete protocol metadata.</x:v>
      </x:c>
      <x:c r="C19" s="2"/>
      <x:c r="D19" s="2"/>
      <x:c r="E19" s="2"/>
      <x:c r="F19" s="2"/>
      <x:c r="G19" s="2"/>
      <x:c r="H19" s="2"/>
    </x:row>
  </x:sheetData>
  <x:mergeCells>
    <x:mergeCell ref="A1:H1"/>
    <x:mergeCell ref="A2:H2"/>
    <x:mergeCell ref="A13:H13"/>
    <x:mergeCell ref="B14:F14"/>
    <x:mergeCell ref="B15:F15"/>
    <x:mergeCell ref="B16:F16"/>
    <x:mergeCell ref="B17:F17"/>
    <x:mergeCell ref="B18:F18"/>
    <x:mergeCell ref="B19:F19"/>
  </x:mergeCells>
  <x:pageMargins left="0.7" right="0.7" top="0.75" bottom="0.75" header="0.3" footer="0.3"/>
</x:worksheet>
</file>