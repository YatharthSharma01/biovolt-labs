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c8c8648ee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d39374b10f424992"/>
    <x:sheet xmlns:r="http://schemas.openxmlformats.org/officeDocument/2006/relationships" name="Condition Decisions" sheetId="2" r:id="Rba50180285fd4189"/>
    <x:sheet xmlns:r="http://schemas.openxmlformats.org/officeDocument/2006/relationships" name="Issue Register" sheetId="3" r:id="Raf70c4a63c16466c"/>
    <x:sheet xmlns:r="http://schemas.openxmlformats.org/officeDocument/2006/relationships" name="Evidence Coverage" sheetId="4" r:id="Rb89fb587f7bf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71915"/>
      <x:name val="Aptos"/>
    </x:font>
    <x:font>
      <x:b/>
      <x:sz val="20"/>
      <x:color rgb="FFFFFFFF"/>
      <x:name val="Georgia"/>
    </x:font>
    <x:font>
      <x:i/>
      <x:sz val="10"/>
      <x:color rgb="FF174EE6"/>
      <x:name val="Aptos"/>
    </x:font>
    <x:font>
      <x:b/>
      <x:sz val="9"/>
      <x:color rgb="FFFFFFFF"/>
      <x:name val="Aptos"/>
    </x:font>
    <x:font>
      <x:b/>
      <x:sz val="22"/>
      <x:color rgb="FF171915"/>
      <x:name val="Aptos"/>
    </x:font>
    <x:font>
      <x:b/>
      <x:sz val="10"/>
      <x:color rgb="FFFFFFFF"/>
      <x:name val="Aptos"/>
    </x:font>
    <x:font>
      <x:b/>
      <x:sz val="10"/>
      <x:color rgb="FF174EE6"/>
      <x:name val="Aptos"/>
    </x:font>
    <x:font>
      <x:b/>
      <x:sz val="10"/>
      <x:color rgb="FF2E7D55"/>
      <x:name val="Aptos"/>
    </x:font>
    <x:font>
      <x:b/>
      <x:sz val="10"/>
      <x:color rgb="FFA86614"/>
      <x:name val="Aptos"/>
    </x:font>
    <x:font>
      <x:b/>
      <x:sz val="10"/>
      <x:color rgb="FFA93C32"/>
      <x:name val="Aptos"/>
    </x:font>
    <x:font>
      <x:i/>
      <x:sz val="9"/>
      <x:color rgb="FF5E625B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1915"/>
      </x:patternFill>
    </x:fill>
    <x:fill>
      <x:patternFill patternType="solid">
        <x:fgColor rgb="FFE9EEFF"/>
      </x:patternFill>
    </x:fill>
    <x:fill>
      <x:patternFill patternType="solid">
        <x:fgColor rgb="FF174EE6"/>
      </x:patternFill>
    </x:fill>
    <x:fill>
      <x:patternFill patternType="solid">
        <x:fgColor rgb="FFFFFFFF"/>
      </x:patternFill>
    </x:fill>
    <x:fill>
      <x:patternFill patternType="solid">
        <x:fgColor rgb="FFE8F4EC"/>
      </x:patternFill>
    </x:fill>
    <x:fill>
      <x:patternFill patternType="solid">
        <x:fgColor rgb="FFFFF2D7"/>
      </x:patternFill>
    </x:fill>
    <x:fill>
      <x:patternFill patternType="solid">
        <x:fgColor rgb="FFFBE7E3"/>
      </x:patternFill>
    </x:fill>
    <x:fill>
      <x:patternFill patternType="solid">
        <x:fgColor rgb="FFF7F3E8"/>
      </x:patternFill>
    </x:fill>
  </x:fills>
  <x:borders count="18">
    <x:border/>
    <x:border>
      <x:left style="thin">
        <x:color rgb="FFD4D0C5"/>
      </x:left>
      <x:top style="thin">
        <x:color rgb="FFD4D0C5"/>
      </x:top>
    </x:border>
    <x:border>
      <x:right style="thin">
        <x:color rgb="FFD4D0C5"/>
      </x:right>
      <x:top style="thin">
        <x:color rgb="FFD4D0C5"/>
      </x:top>
    </x:border>
    <x:border>
      <x:left style="thin">
        <x:color rgb="FFD4D0C5"/>
      </x:left>
      <x:bottom style="thin">
        <x:color rgb="FFD4D0C5"/>
      </x:bottom>
    </x:border>
    <x:border>
      <x:right style="thin">
        <x:color rgb="FFD4D0C5"/>
      </x:right>
      <x:bottom style="thin">
        <x:color rgb="FFD4D0C5"/>
      </x:bottom>
    </x:border>
    <x:border>
      <x:bottom style="thin">
        <x:color rgb="FFD4D0C5"/>
      </x:bottom>
    </x:border>
    <x:border>
      <x:top style="thin">
        <x:color rgb="FFD4D0C5"/>
      </x:top>
      <x:bottom style="thin">
        <x:color rgb="FFD4D0C5"/>
      </x:bottom>
    </x:border>
    <x:border>
      <x:left style="thin">
        <x:color rgb="FF174EE6"/>
      </x:left>
      <x:top style="thin">
        <x:color rgb="FF174EE6"/>
      </x:top>
    </x:border>
    <x:border>
      <x:top style="thin">
        <x:color rgb="FF174EE6"/>
      </x:top>
    </x:border>
    <x:border>
      <x:right style="thin">
        <x:color rgb="FF174EE6"/>
      </x:right>
      <x:top style="thin">
        <x:color rgb="FF174EE6"/>
      </x:top>
    </x:border>
    <x:border>
      <x:left style="thin">
        <x:color rgb="FF174EE6"/>
      </x:left>
    </x:border>
    <x:border>
      <x:right style="thin">
        <x:color rgb="FF174EE6"/>
      </x:right>
    </x:border>
    <x:border>
      <x:left style="thin">
        <x:color rgb="FF174EE6"/>
      </x:left>
      <x:bottom style="thin">
        <x:color rgb="FF174EE6"/>
      </x:bottom>
    </x:border>
    <x:border>
      <x:bottom style="thin">
        <x:color rgb="FF174EE6"/>
      </x:bottom>
    </x:border>
    <x:border>
      <x:right style="thin">
        <x:color rgb="FF174EE6"/>
      </x:right>
      <x:bottom style="thin">
        <x:color rgb="FF174EE6"/>
      </x:bottom>
    </x:border>
    <x:border>
      <x:top style="thin">
        <x:color rgb="FFD4D0C5"/>
      </x:top>
    </x:border>
    <x:border>
      <x:left style="thin">
        <x:color rgb="FFD4D0C5"/>
      </x:left>
    </x:border>
    <x:border>
      <x:right style="thin">
        <x:color rgb="FFD4D0C5"/>
      </x:right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wrapText="1"/>
    </x:xf>
    <x:xf numFmtId="0" fontId="10" fillId="8" borderId="6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3" xfId="0" applyNumberFormat="1" applyFont="1" applyFill="1" applyBorder="1"/>
    <x:xf numFmtId="0" fontId="1" fillId="3" borderId="14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15" xfId="0" applyNumberFormat="1" applyFont="1" applyFill="1" applyBorder="1"/>
    <x:xf numFmtId="0" fontId="1" fillId="9" borderId="2" xfId="0" applyNumberFormat="1" applyFont="1" applyFill="1" applyBorder="1"/>
    <x:xf numFmtId="0" fontId="1" fillId="9" borderId="16" xfId="0" applyNumberFormat="1" applyFont="1" applyFill="1" applyBorder="1"/>
    <x:xf numFmtId="0" fontId="1" fillId="9" borderId="17" xfId="0" applyNumberFormat="1" applyFont="1" applyFill="1" applyBorder="1"/>
    <x:xf numFmtId="0" fontId="1" fillId="9" borderId="3" xfId="0" applyNumberFormat="1" applyFont="1" applyFill="1" applyBorder="1"/>
    <x:xf numFmtId="0" fontId="1" fillId="9" borderId="5" xfId="0" applyNumberFormat="1" applyFont="1" applyFill="1" applyBorder="1"/>
    <x:xf numFmtId="0" fontId="1" fillId="9" borderId="4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5" xfId="0" applyNumberFormat="1" applyFont="1" applyFill="1" applyBorder="1" applyAlignment="1">
      <x:alignment wrapText="1"/>
    </x:xf>
    <x:xf numFmtId="0" fontId="1" fillId="9" borderId="2" xfId="0" applyNumberFormat="1" applyFont="1" applyFill="1" applyBorder="1" applyAlignment="1">
      <x:alignment wrapText="1"/>
    </x:xf>
    <x:xf numFmtId="0" fontId="1" fillId="9" borderId="16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17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5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15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9" borderId="16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7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vertical="top" wrapText="1"/>
    </x:xf>
    <x:xf numFmtId="0" fontId="1" fillId="9" borderId="5" xfId="0" applyNumberFormat="1" applyFont="1" applyFill="1" applyBorder="1" applyAlignment="1">
      <x:alignment vertical="top" wrapText="1"/>
    </x:xf>
    <x:xf numFmtId="0" fontId="1" fillId="9" borderId="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0" fillId="8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A93C32"/>
      </x:font>
      <x:fill>
        <x:patternFill patternType="solid">
          <x:bgColor rgb="FFFBE7E3"/>
        </x:patternFill>
      </x:fill>
    </x:dxf>
    <x:dxf>
      <x:font>
        <x:b/>
        <x:color rgb="FFA86614"/>
      </x:font>
      <x:fill>
        <x:patternFill patternType="solid">
          <x:bgColor rgb="FFFFF2D7"/>
        </x:patternFill>
      </x:fill>
    </x:dxf>
    <x:dxf>
      <x:font>
        <x:b/>
        <x:color rgb="FF2E7D55"/>
      </x:font>
      <x:fill>
        <x:patternFill patternType="solid">
          <x:bgColor rgb="FFE8F4EC"/>
        </x:patternFill>
      </x:fill>
    </x:dxf>
    <x:dxf>
      <x:font>
        <x:b/>
        <x:color rgb="FFA86614"/>
      </x:font>
      <x:fill>
        <x:patternFill patternType="solid">
          <x:bgColor rgb="FFFFF2D7"/>
        </x:patternFill>
      </x:fill>
    </x:dxf>
    <x:dxf>
      <x:font>
        <x:b/>
        <x:color rgb="FF2E7D55"/>
      </x:font>
      <x:fill>
        <x:patternFill patternType="solid">
          <x:bgColor rgb="FFE8F4EC"/>
        </x:patternFill>
      </x:fill>
    </x:dxf>
    <x:dxf>
      <x:font>
        <x:b/>
        <x:color rgb="FF174EE6"/>
      </x:font>
      <x:fill>
        <x:patternFill patternType="solid">
          <x:bgColor rgb="FFE9EEFF"/>
        </x:patternFill>
      </x:fill>
    </x:dxf>
    <x:dxf>
      <x:font>
        <x:b/>
        <x:color rgb="FFA86614"/>
      </x:font>
      <x:fill>
        <x:patternFill patternType="solid">
          <x:bgColor rgb="FFFFF2D7"/>
        </x:patternFill>
      </x:fill>
    </x:dxf>
    <x:dxf>
      <x:font>
        <x:b/>
        <x:color rgb="FFA93C32"/>
      </x:font>
      <x:fill>
        <x:patternFill patternType="solid">
          <x:bgColor rgb="FFFB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93fb1c7b3489d" /><Relationship Type="http://schemas.openxmlformats.org/officeDocument/2006/relationships/theme" Target="/xl/theme/theme1.xml" Id="R63b5b465aed948f1" /><Relationship Type="http://schemas.openxmlformats.org/officeDocument/2006/relationships/sharedStrings" Target="/xl/sharedStrings.xml" Id="Rb09a8106c31c4028" /><Relationship Type="http://schemas.openxmlformats.org/officeDocument/2006/relationships/worksheet" Target="/xl/worksheets/sheet1.xml" Id="Rd39374b10f424992" /><Relationship Type="http://schemas.openxmlformats.org/officeDocument/2006/relationships/worksheet" Target="/xl/worksheets/sheet2.xml" Id="Rba50180285fd4189" /><Relationship Type="http://schemas.openxmlformats.org/officeDocument/2006/relationships/worksheet" Target="/xl/worksheets/sheet3.xml" Id="Raf70c4a63c16466c" /><Relationship Type="http://schemas.openxmlformats.org/officeDocument/2006/relationships/worksheet" Target="/xl/worksheets/sheet4.xml" Id="Rb89fb587f7bf4075" /></Relationships>
</file>

<file path=xl/tables/table1.xml><?xml version="1.0" encoding="utf-8"?>
<x:table xmlns:x="http://schemas.openxmlformats.org/spreadsheetml/2006/main" id="1" name="Phase2ConditionDecisions" displayName="Phase2ConditionDecisions" ref="A1:R17" headerRowCount="1" totalsRowCount="0" totalsRowShown="0">
  <x:tableColumns count="18">
    <x:tableColumn id="1" name="Condition ID"/>
    <x:tableColumn id="2" name="Paper"/>
    <x:tableColumn id="3" name="Target role"/>
    <x:tableColumn id="4" name="Decision"/>
    <x:tableColumn id="5" name="Access"/>
    <x:tableColumn id="6" name="Source file"/>
    <x:tableColumn id="7" name="Source URL"/>
    <x:tableColumn id="8" name="Area / normalization"/>
    <x:tableColumn id="9" name="Load / voltage context"/>
    <x:tableColumn id="10" name="Allowed metrics"/>
    <x:tableColumn id="11" name="Power reference"/>
    <x:tableColumn id="12" name="COD reference"/>
    <x:tableColumn id="13" name="Power match"/>
    <x:tableColumn id="14" name="COD match"/>
    <x:tableColumn id="15" name="Power pooling"/>
    <x:tableColumn id="16" name="COD pooling"/>
    <x:tableColumn id="17" name="Warnings"/>
    <x:tableColumn id="18" name="Resolution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2IssueRegister" displayName="Phase2IssueRegister" ref="A1:H10" headerRowCount="1" totalsRowCount="0" totalsRowShown="0">
  <x:tableColumns count="8">
    <x:tableColumn id="1" name="Issue ID"/>
    <x:tableColumn id="2" name="Severity"/>
    <x:tableColumn id="3" name="Affected conditions"/>
    <x:tableColumn id="4" name="Target"/>
    <x:tableColumn id="5" name="Finding"/>
    <x:tableColumn id="6" name="Phase 2 decision"/>
    <x:tableColumn id="7" name="Closure criterion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ase2EvidenceCoverage" displayName="Phase2EvidenceCoverage" ref="A1:G10" headerRowCount="1" totalsRowCount="0" totalsRowShown="0">
  <x:tableColumns count="7">
    <x:tableColumn id="1" name="Target domain"/>
    <x:tableColumn id="2" name="Conditions"/>
    <x:tableColumn id="3" name="Independent papers"/>
    <x:tableColumn id="4" name="Current status"/>
    <x:tableColumn id="5" name="Permitted output"/>
    <x:tableColumn id="6" name="Primary limitation"/>
    <x:tableColumn id="7" name="Next evidence nee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6fc48d2b49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af0202f52b4d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f39d4c1bc740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5" t="str">
        <x:v>BioVolt AI / Phase 2 Evidence Gate</x:v>
      </x:c>
      <x:c r="B1" s="5"/>
      <x:c r="C1" s="5"/>
      <x:c r="D1" s="5"/>
      <x:c r="E1" s="5"/>
      <x:c r="F1" s="5"/>
      <x:c r="G1" s="5"/>
      <x:c r="H1" s="5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2" customHeight="1">
      <x:c r="A3" s="7" t="str">
        <x:v>Literature reconciliation for a defensible MFC calculator | reviewed 2026-07-19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2" customHeight="1">
      <x:c r="A5" s="10" t="str">
        <x:v>REVIEWED CONDITIONS</x:v>
      </x:c>
      <x:c r="B5" s="10"/>
      <x:c r="C5" s="10" t="str">
        <x:v>POWER MATCH-READY</x:v>
      </x:c>
      <x:c r="D5" s="10"/>
      <x:c r="E5" s="10" t="str">
        <x:v>COD MATCH-READY</x:v>
      </x:c>
      <x:c r="F5" s="10"/>
      <x:c r="G5" s="10" t="str">
        <x:v>ESTIMATE-READY DOMAINS</x:v>
      </x:c>
      <x:c r="H5" s="10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21" t="n">
        <x:f>COUNTA('Condition Decisions'!$A$2:$A$17)</x:f>
        <x:v>16</x:v>
      </x:c>
      <x:c r="B6" s="22"/>
      <x:c r="C6" s="21" t="n">
        <x:f>COUNTIF('Condition Decisions'!$M$2:$M$17,"Yes")</x:f>
        <x:v>2</x:v>
      </x:c>
      <x:c r="D6" s="22"/>
      <x:c r="E6" s="21" t="n">
        <x:f>COUNTIF('Condition Decisions'!$N$2:$N$17,"Yes")</x:f>
        <x:v>8</x:v>
      </x:c>
      <x:c r="F6" s="22"/>
      <x:c r="G6" s="21" t="n">
        <x:f>0</x:f>
        <x:v>0</x:v>
      </x:c>
      <x:c r="H6" s="22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23"/>
      <x:c r="B7" s="24"/>
      <x:c r="C7" s="23"/>
      <x:c r="D7" s="24"/>
      <x:c r="E7" s="23"/>
      <x:c r="F7" s="24"/>
      <x:c r="G7" s="23"/>
      <x:c r="H7" s="24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2" customHeight="1">
      <x:c r="A9" s="25" t="str">
        <x:v>CAPABILITY GATE</x:v>
      </x:c>
      <x:c r="B9" s="25"/>
      <x:c r="C9" s="25"/>
      <x:c r="D9" s="25"/>
      <x:c r="E9" s="1"/>
      <x:c r="F9" s="38" t="str">
        <x:v>SCIENTIFIC BOUNDARY</x:v>
      </x:c>
      <x:c r="G9" s="38"/>
      <x:c r="H9" s="38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2" customHeight="1">
      <x:c r="A10" s="27" t="str">
        <x:v>Capability</x:v>
      </x:c>
      <x:c r="B10" s="27" t="str">
        <x:v>Decision</x:v>
      </x:c>
      <x:c r="C10" s="27" t="str">
        <x:v>Evidence state</x:v>
      </x:c>
      <x:c r="D10" s="27" t="str">
        <x:v>Phase 3 behavior</x:v>
      </x:c>
      <x:c r="E10" s="1"/>
      <x:c r="F10" s="56" t="str">
        <x:v>The current evidence supports calculated results and cited references. It does not support a pooled confidence interval, optimizer or trained AI prediction. Conditions from the same paper are not independent validation studies.</x:v>
      </x:c>
      <x:c r="G10" s="57"/>
      <x:c r="H10" s="58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2" customHeight="1">
      <x:c r="A11" s="30" t="str">
        <x:v>Measured formula calculator</x:v>
      </x:c>
      <x:c r="B11" s="33" t="str">
        <x:v>GO</x:v>
      </x:c>
      <x:c r="C11" s="30" t="str">
        <x:v>Equations + synthetic validation</x:v>
      </x:c>
      <x:c r="D11" s="30" t="str">
        <x:v>Build premium client-side calculator</x:v>
      </x:c>
      <x:c r="E11" s="1"/>
      <x:c r="F11" s="59"/>
      <x:c r="G11" s="60"/>
      <x:c r="H11" s="6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2" customHeight="1">
      <x:c r="A12" s="31" t="str">
        <x:v>Single-study references</x:v>
      </x:c>
      <x:c r="B12" s="35" t="str">
        <x:v>GO WITH LIMITS</x:v>
      </x:c>
      <x:c r="C12" s="31" t="str">
        <x:v>Condition IDs and citations available</x:v>
      </x:c>
      <x:c r="D12" s="31" t="str">
        <x:v>Show cited reference + warning</x:v>
      </x:c>
      <x:c r="E12" s="1"/>
      <x:c r="F12" s="59"/>
      <x:c r="G12" s="60"/>
      <x:c r="H12" s="6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2" customHeight="1">
      <x:c r="A13" s="31" t="str">
        <x:v>Pooled literature estimate</x:v>
      </x:c>
      <x:c r="B13" s="37" t="str">
        <x:v>NO GO</x:v>
      </x:c>
      <x:c r="C13" s="31" t="str">
        <x:v>No comparable multi-paper domain</x:v>
      </x:c>
      <x:c r="D13" s="31" t="str">
        <x:v>Refuse interval or central estimate</x:v>
      </x:c>
      <x:c r="E13" s="1"/>
      <x:c r="F13" s="59"/>
      <x:c r="G13" s="60"/>
      <x:c r="H13" s="6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2" customHeight="1">
      <x:c r="A14" s="31" t="str">
        <x:v>Machine-learning prediction</x:v>
      </x:c>
      <x:c r="B14" s="37" t="str">
        <x:v>NO GO</x:v>
      </x:c>
      <x:c r="C14" s="31" t="str">
        <x:v>16 heterogeneous rows</x:v>
      </x:c>
      <x:c r="D14" s="31" t="str">
        <x:v>Keep prediction label disabled</x:v>
      </x:c>
      <x:c r="E14" s="1"/>
      <x:c r="F14" s="62"/>
      <x:c r="G14" s="63"/>
      <x:c r="H14" s="64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2" customHeight="1">
      <x:c r="A16" s="25" t="str">
        <x:v>PHASE 3 HANDOFF</x:v>
      </x:c>
      <x:c r="B16" s="25"/>
      <x:c r="C16" s="25"/>
      <x:c r="D16" s="25"/>
      <x:c r="E16" s="25"/>
      <x:c r="F16" s="25"/>
      <x:c r="G16" s="25"/>
      <x:c r="H16" s="25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4" customHeight="1">
      <x:c r="A17" s="83" t="str">
        <x:v>Build the five-step calculator interface with the measured-equation path first. Literature results may return one cited reference, a limitations message or an outside-domain refusal. Keep pooled estimates, confidence intervals and model predictions disabled until new independent, fully normalized studies pass this gate.</x:v>
      </x:c>
      <x:c r="B17" s="84"/>
      <x:c r="C17" s="84"/>
      <x:c r="D17" s="84"/>
      <x:c r="E17" s="84"/>
      <x:c r="F17" s="84"/>
      <x:c r="G17" s="84"/>
      <x:c r="H17" s="85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4" customHeight="1">
      <x:c r="A18" s="86"/>
      <x:c r="B18" s="87"/>
      <x:c r="C18" s="87"/>
      <x:c r="D18" s="87"/>
      <x:c r="E18" s="87"/>
      <x:c r="F18" s="87"/>
      <x:c r="G18" s="87"/>
      <x:c r="H18" s="88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4" customHeight="1">
      <x:c r="A19" s="86"/>
      <x:c r="B19" s="87"/>
      <x:c r="C19" s="87"/>
      <x:c r="D19" s="87"/>
      <x:c r="E19" s="87"/>
      <x:c r="F19" s="87"/>
      <x:c r="G19" s="87"/>
      <x:c r="H19" s="88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4" customHeight="1">
      <x:c r="A20" s="86"/>
      <x:c r="B20" s="87"/>
      <x:c r="C20" s="87"/>
      <x:c r="D20" s="87"/>
      <x:c r="E20" s="87"/>
      <x:c r="F20" s="87"/>
      <x:c r="G20" s="87"/>
      <x:c r="H20" s="88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customHeight="1">
      <x:c r="A21" s="89"/>
      <x:c r="B21" s="90"/>
      <x:c r="C21" s="90"/>
      <x:c r="D21" s="90"/>
      <x:c r="E21" s="90"/>
      <x:c r="F21" s="90"/>
      <x:c r="G21" s="90"/>
      <x:c r="H21" s="9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2" customHeight="1">
      <x:c r="A23" s="93" t="str">
        <x:v>Source note: condition-level measurements remain in audit/Literature_Audit.xlsx. This workbook records Phase 2 eligibility decisions and does not alter reported measurements.</x:v>
      </x:c>
      <x:c r="B23" s="93"/>
      <x:c r="C23" s="93"/>
      <x:c r="D23" s="93"/>
      <x:c r="E23" s="93"/>
      <x:c r="F23" s="93"/>
      <x:c r="G23" s="93"/>
      <x:c r="H23" s="93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2" customHeight="1">
      <x:c r="A24" s="93"/>
      <x:c r="B24" s="93"/>
      <x:c r="C24" s="93"/>
      <x:c r="D24" s="93"/>
      <x:c r="E24" s="93"/>
      <x:c r="F24" s="93"/>
      <x:c r="G24" s="93"/>
      <x:c r="H24" s="93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D9"/>
    <x:mergeCell ref="F9:H9"/>
    <x:mergeCell ref="F10:H14"/>
    <x:mergeCell ref="A16:H16"/>
    <x:mergeCell ref="A17:H21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2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  <x:col min="8" max="8" width="48" hidden="0" customWidth="1"/>
    <x:col min="9" max="9" width="48" hidden="0" customWidth="1"/>
    <x:col min="10" max="10" width="4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52" hidden="0" customWidth="1"/>
    <x:col min="18" max="18" width="52" hidden="0" customWidth="1"/>
  </x:cols>
  <x:sheetData>
    <x:row r="1" ht="34" customHeight="1">
      <x:c r="A1" s="95" t="str">
        <x:v>Condition ID</x:v>
      </x:c>
      <x:c r="B1" s="95" t="str">
        <x:v>Paper</x:v>
      </x:c>
      <x:c r="C1" s="95" t="str">
        <x:v>Target role</x:v>
      </x:c>
      <x:c r="D1" s="95" t="str">
        <x:v>Decision</x:v>
      </x:c>
      <x:c r="E1" s="95" t="str">
        <x:v>Access</x:v>
      </x:c>
      <x:c r="F1" s="95" t="str">
        <x:v>Source file</x:v>
      </x:c>
      <x:c r="G1" s="95" t="str">
        <x:v>Source URL</x:v>
      </x:c>
      <x:c r="H1" s="95" t="str">
        <x:v>Area / normalization</x:v>
      </x:c>
      <x:c r="I1" s="95" t="str">
        <x:v>Load / voltage context</x:v>
      </x:c>
      <x:c r="J1" s="95" t="str">
        <x:v>Allowed metrics</x:v>
      </x:c>
      <x:c r="K1" s="95" t="str">
        <x:v>Power reference</x:v>
      </x:c>
      <x:c r="L1" s="95" t="str">
        <x:v>COD reference</x:v>
      </x:c>
      <x:c r="M1" s="95" t="str">
        <x:v>Power match</x:v>
      </x:c>
      <x:c r="N1" s="95" t="str">
        <x:v>COD match</x:v>
      </x:c>
      <x:c r="O1" s="95" t="str">
        <x:v>Power pooling</x:v>
      </x:c>
      <x:c r="P1" s="95" t="str">
        <x:v>COD pooling</x:v>
      </x:c>
      <x:c r="Q1" s="95" t="str">
        <x:v>Warnings</x:v>
      </x:c>
      <x:c r="R1" s="95" t="str">
        <x:v>Resolution action</x:v>
      </x:c>
      <x:c r="S1" s="1"/>
      <x:c r="T1" s="1"/>
      <x:c r="U1" s="1"/>
      <x:c r="V1" s="1"/>
      <x:c r="W1" s="1"/>
      <x:c r="X1" s="1"/>
      <x:c r="Y1" s="1"/>
      <x:c r="Z1" s="1"/>
    </x:row>
    <x:row r="2" ht="42" customHeight="1">
      <x:c r="A2" s="96" t="str">
        <x:v>BV-LIT-009-G-100</x:v>
      </x:c>
      <x:c r="B2" s="96" t="str">
        <x:v>BV-LIT-009</x:v>
      </x:c>
      <x:c r="C2" s="96" t="str">
        <x:v>Pseudomonas sugar power and COD</x:v>
      </x:c>
      <x:c r="D2" s="99" t="str">
        <x:v>hold_for_reconciliation</x:v>
      </x:c>
      <x:c r="E2" s="96" t="str">
        <x:v>Public</x:v>
      </x:c>
      <x:c r="F2" s="96" t="str">
        <x:v>PDF 1.pdf</x:v>
      </x:c>
      <x:c r="G2" s="96" t="str">
        <x:v>https://doi.org/10.15171/ijb.1608</x:v>
      </x:c>
      <x:c r="H2" s="96" t="str">
        <x:v>Reported values imply 30 cm2, consistent with both faces of a 3 x 5 cm electrode, but the source basis is not explicit.</x:v>
      </x:c>
      <x:c r="I2" s="96" t="str">
        <x:v>Loaded voltage reported at 100 ohm.</x:v>
      </x:c>
      <x:c r="J2" s="96" t="str">
        <x:v>loaded_voltage_v; reported_power_density_mw_m2; reported_current_density_ma_m2; cod_removal_percent</x:v>
      </x:c>
      <x:c r="K2" s="96" t="str">
        <x:v>Yes</x:v>
      </x:c>
      <x:c r="L2" s="96" t="str">
        <x:v>Yes</x:v>
      </x:c>
      <x:c r="M2" s="96" t="str">
        <x:v>No</x:v>
      </x:c>
      <x:c r="N2" s="96" t="str">
        <x:v>Yes</x:v>
      </x:c>
      <x:c r="O2" s="96" t="str">
        <x:v>No</x:v>
      </x:c>
      <x:c r="P2" s="96" t="str">
        <x:v>No</x:v>
      </x:c>
      <x:c r="Q2" s="96" t="str">
        <x:v>NORMALIZATION_BASIS_UNCONFIRMED; SINGLE_STUDY_REFERENCE</x:v>
      </x:c>
      <x:c r="R2" s="96" t="str">
        <x:v>Confirm whether 30 cm2 is the explicitly intended two-face electrode area before enabling power matching.</x:v>
      </x:c>
      <x:c r="S2" s="1"/>
      <x:c r="T2" s="1"/>
      <x:c r="U2" s="1"/>
      <x:c r="V2" s="1"/>
      <x:c r="W2" s="1"/>
      <x:c r="X2" s="1"/>
      <x:c r="Y2" s="1"/>
      <x:c r="Z2" s="1"/>
    </x:row>
    <x:row r="3" ht="42" customHeight="1">
      <x:c r="A3" s="97" t="str">
        <x:v>BV-LIT-009-F-100</x:v>
      </x:c>
      <x:c r="B3" s="97" t="str">
        <x:v>BV-LIT-009</x:v>
      </x:c>
      <x:c r="C3" s="97" t="str">
        <x:v>Pseudomonas sugar power and COD</x:v>
      </x:c>
      <x:c r="D3" s="101" t="str">
        <x:v>hold_for_reconciliation</x:v>
      </x:c>
      <x:c r="E3" s="97" t="str">
        <x:v>Public</x:v>
      </x:c>
      <x:c r="F3" s="97" t="str">
        <x:v>PDF 1.pdf</x:v>
      </x:c>
      <x:c r="G3" s="97" t="str">
        <x:v>https://doi.org/10.15171/ijb.1608</x:v>
      </x:c>
      <x:c r="H3" s="97" t="str">
        <x:v>Approximately consistent with a 30 cm2 two-face area, but the basis is not explicit and central values are rounded.</x:v>
      </x:c>
      <x:c r="I3" s="97" t="str">
        <x:v>Loaded voltage reported at 100 ohm; duplicate batches.</x:v>
      </x:c>
      <x:c r="J3" s="97" t="str">
        <x:v>loaded_voltage_v; reported_power_density_mw_m2; reported_current_density_ma_m2; cod_removal_percent</x:v>
      </x:c>
      <x:c r="K3" s="97" t="str">
        <x:v>Yes</x:v>
      </x:c>
      <x:c r="L3" s="97" t="str">
        <x:v>Yes</x:v>
      </x:c>
      <x:c r="M3" s="97" t="str">
        <x:v>No</x:v>
      </x:c>
      <x:c r="N3" s="97" t="str">
        <x:v>Yes</x:v>
      </x:c>
      <x:c r="O3" s="97" t="str">
        <x:v>No</x:v>
      </x:c>
      <x:c r="P3" s="97" t="str">
        <x:v>No</x:v>
      </x:c>
      <x:c r="Q3" s="97" t="str">
        <x:v>NORMALIZATION_BASIS_UNCONFIRMED; SINGLE_STUDY_REFERENCE</x:v>
      </x:c>
      <x:c r="R3" s="97" t="str">
        <x:v>Verify the area convention and retain duplicate-batch status in any displayed reference.</x:v>
      </x:c>
      <x:c r="S3" s="1"/>
      <x:c r="T3" s="1"/>
      <x:c r="U3" s="1"/>
      <x:c r="V3" s="1"/>
      <x:c r="W3" s="1"/>
      <x:c r="X3" s="1"/>
      <x:c r="Y3" s="1"/>
      <x:c r="Z3" s="1"/>
    </x:row>
    <x:row r="4" ht="42" customHeight="1">
      <x:c r="A4" s="97" t="str">
        <x:v>BV-LIT-009-S-100</x:v>
      </x:c>
      <x:c r="B4" s="97" t="str">
        <x:v>BV-LIT-009</x:v>
      </x:c>
      <x:c r="C4" s="97" t="str">
        <x:v>Pseudomonas sugar power and COD</x:v>
      </x:c>
      <x:c r="D4" s="101" t="str">
        <x:v>hold_for_reconciliation</x:v>
      </x:c>
      <x:c r="E4" s="97" t="str">
        <x:v>Public</x:v>
      </x:c>
      <x:c r="F4" s="97" t="str">
        <x:v>PDF 1.pdf</x:v>
      </x:c>
      <x:c r="G4" s="97" t="str">
        <x:v>https://doi.org/10.15171/ijb.1608</x:v>
      </x:c>
      <x:c r="H4" s="97" t="str">
        <x:v>Power density implies about 30 cm2, but the reported current density is irreconcilable with voltage and resistance.</x:v>
      </x:c>
      <x:c r="I4" s="97" t="str">
        <x:v>Loaded voltage reported at 100 ohm.</x:v>
      </x:c>
      <x:c r="J4" s="97" t="str">
        <x:v>loaded_voltage_v; reported_power_density_mw_m2; cod_removal_percent</x:v>
      </x:c>
      <x:c r="K4" s="97" t="str">
        <x:v>Yes</x:v>
      </x:c>
      <x:c r="L4" s="97" t="str">
        <x:v>Yes</x:v>
      </x:c>
      <x:c r="M4" s="97" t="str">
        <x:v>No</x:v>
      </x:c>
      <x:c r="N4" s="97" t="str">
        <x:v>Yes</x:v>
      </x:c>
      <x:c r="O4" s="97" t="str">
        <x:v>No</x:v>
      </x:c>
      <x:c r="P4" s="97" t="str">
        <x:v>No</x:v>
      </x:c>
      <x:c r="Q4" s="97" t="str">
        <x:v>NORMALIZATION_BASIS_UNCONFIRMED; REPORTED_CURRENT_DENSITY_MISMATCH; SINGLE_STUDY_REFERENCE</x:v>
      </x:c>
      <x:c r="R4" s="97" t="str">
        <x:v>Recheck the source figure or erratum; never expose the current-density value as a calculator benchmark.</x:v>
      </x:c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97" t="str">
        <x:v>BV-LIT-009-G-PMAX</x:v>
      </x:c>
      <x:c r="B5" s="97" t="str">
        <x:v>BV-LIT-009</x:v>
      </x:c>
      <x:c r="C5" s="97" t="str">
        <x:v>Pseudomonas glucose polarization benchmark</x:v>
      </x:c>
      <x:c r="D5" s="101" t="str">
        <x:v>hold_for_reconciliation</x:v>
      </x:c>
      <x:c r="E5" s="97" t="str">
        <x:v>Public</x:v>
      </x:c>
      <x:c r="F5" s="97" t="str">
        <x:v>PDF 1.pdf</x:v>
      </x:c>
      <x:c r="G5" s="97" t="str">
        <x:v>https://doi.org/10.15171/ijb.1608</x:v>
      </x:c>
      <x:c r="H5" s="97" t="str">
        <x:v>The reported peak is close to a 30 cm2 two-face convention but cannot be tied deterministically to the stated voltage point.</x:v>
      </x:c>
      <x:c r="I5" s="97" t="str">
        <x:v>Polarization maximum; do not combine with steady 100-ohm observations.</x:v>
      </x:c>
      <x:c r="J5" s="97" t="str">
        <x:v>reported_power_density_mw_m2</x:v>
      </x:c>
      <x:c r="K5" s="97" t="str">
        <x:v>Yes</x:v>
      </x:c>
      <x:c r="L5" s="97" t="str">
        <x:v>No</x:v>
      </x:c>
      <x:c r="M5" s="97" t="str">
        <x:v>No</x:v>
      </x:c>
      <x:c r="N5" s="97" t="str">
        <x:v>No</x:v>
      </x:c>
      <x:c r="O5" s="97" t="str">
        <x:v>No</x:v>
      </x:c>
      <x:c r="P5" s="97" t="str">
        <x:v>No</x:v>
      </x:c>
      <x:c r="Q5" s="97" t="str">
        <x:v>POLARIZATION_POINT_SEPARATE; NORMALIZATION_BASIS_UNCONFIRMED</x:v>
      </x:c>
      <x:c r="R5" s="97" t="str">
        <x:v>Digitize or re-read the polarization point with its exact resistance and normalization definition.</x:v>
      </x:c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97" t="str">
        <x:v>BV-LIT-011-20</x:v>
      </x:c>
      <x:c r="B6" s="97" t="str">
        <x:v>BV-LIT-011</x:v>
      </x:c>
      <x:c r="C6" s="97" t="str">
        <x:v>Halophile acetate power and COD</x:v>
      </x:c>
      <x:c r="D6" s="103" t="str">
        <x:v>reference_ready</x:v>
      </x:c>
      <x:c r="E6" s="97" t="str">
        <x:v>Public</x:v>
      </x:c>
      <x:c r="F6" s="97" t="str">
        <x:v>PDF 2.pdf</x:v>
      </x:c>
      <x:c r="G6" s="97" t="str">
        <x:v>https://doi.org/10.3390/en16020877</x:v>
      </x:c>
      <x:c r="H6" s="97" t="str">
        <x:v>Projected cathode area, reported as 18.6 x 10^-4 m2.</x:v>
      </x:c>
      <x:c r="I6" s="97" t="str">
        <x:v>Peak power at 100 ohm; current-density maximum belongs to 5 ohm and is excluded from the same comparison.</x:v>
      </x:c>
      <x:c r="J6" s="97" t="str">
        <x:v>loaded_voltage_v; open_circuit_voltage_v; reported_power_density_mw_m2; cod_removal_percent</x:v>
      </x:c>
      <x:c r="K6" s="97" t="str">
        <x:v>Yes</x:v>
      </x:c>
      <x:c r="L6" s="97" t="str">
        <x:v>Yes</x:v>
      </x:c>
      <x:c r="M6" s="97" t="str">
        <x:v>Yes</x:v>
      </x:c>
      <x:c r="N6" s="97" t="str">
        <x:v>Yes</x:v>
      </x:c>
      <x:c r="O6" s="97" t="str">
        <x:v>No</x:v>
      </x:c>
      <x:c r="P6" s="97" t="str">
        <x:v>No</x:v>
      </x:c>
      <x:c r="Q6" s="97" t="str">
        <x:v>LOAD_POINTS_DIFFER; SINGLE_STUDY_REFERENCE</x:v>
      </x:c>
      <x:c r="R6" s="97" t="str">
        <x:v>Keep peak current density separate and display the projected-cathode area basis beside power density.</x:v>
      </x:c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97" t="str">
        <x:v>BV-LIT-011-40</x:v>
      </x:c>
      <x:c r="B7" s="97" t="str">
        <x:v>BV-LIT-011</x:v>
      </x:c>
      <x:c r="C7" s="97" t="str">
        <x:v>Halophile acetate power and COD</x:v>
      </x:c>
      <x:c r="D7" s="103" t="str">
        <x:v>reference_ready</x:v>
      </x:c>
      <x:c r="E7" s="97" t="str">
        <x:v>Public</x:v>
      </x:c>
      <x:c r="F7" s="97" t="str">
        <x:v>PDF 2.pdf</x:v>
      </x:c>
      <x:c r="G7" s="97" t="str">
        <x:v>https://doi.org/10.3390/en16020877</x:v>
      </x:c>
      <x:c r="H7" s="97" t="str">
        <x:v>Projected cathode area, reported as 18.6 x 10^-4 m2.</x:v>
      </x:c>
      <x:c r="I7" s="97" t="str">
        <x:v>Peak power at 100 ohm; current-density maximum belongs to 5 ohm and is excluded from the same comparison.</x:v>
      </x:c>
      <x:c r="J7" s="97" t="str">
        <x:v>loaded_voltage_v; open_circuit_voltage_v; reported_power_density_mw_m2; cod_removal_percent</x:v>
      </x:c>
      <x:c r="K7" s="97" t="str">
        <x:v>Yes</x:v>
      </x:c>
      <x:c r="L7" s="97" t="str">
        <x:v>Yes</x:v>
      </x:c>
      <x:c r="M7" s="97" t="str">
        <x:v>Yes</x:v>
      </x:c>
      <x:c r="N7" s="97" t="str">
        <x:v>Yes</x:v>
      </x:c>
      <x:c r="O7" s="97" t="str">
        <x:v>No</x:v>
      </x:c>
      <x:c r="P7" s="97" t="str">
        <x:v>No</x:v>
      </x:c>
      <x:c r="Q7" s="97" t="str">
        <x:v>LOAD_POINTS_DIFFER; SINGLE_STUDY_REFERENCE</x:v>
      </x:c>
      <x:c r="R7" s="97" t="str">
        <x:v>Do not extrapolate the two-condition salinity response beyond 20-40 g/L.</x:v>
      </x:c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97" t="str">
        <x:v>BV-LIT-010-500</x:v>
      </x:c>
      <x:c r="B8" s="97" t="str">
        <x:v>BV-LIT-010</x:v>
      </x:c>
      <x:c r="C8" s="97" t="str">
        <x:v>Halophile starch power</x:v>
      </x:c>
      <x:c r="D8" s="101" t="str">
        <x:v>hold_for_reconciliation</x:v>
      </x:c>
      <x:c r="E8" s="97" t="str">
        <x:v>Private reviewed</x:v>
      </x:c>
      <x:c r="F8" s="97" t="str">
        <x:v>PDF 11.pdf</x:v>
      </x:c>
      <x:c r="G8" s="97" t="str">
        <x:v>https://doi.org/10.1016/j.biortech.2018.02.044</x:v>
      </x:c>
      <x:c r="H8" s="97" t="str">
        <x:v>Reported electrode areas are retained, but peak power and current use different load points.</x:v>
      </x:c>
      <x:c r="I8" s="97" t="str">
        <x:v>100-ohm voltage is not assumed to be the polarization peak.</x:v>
      </x:c>
      <x:c r="J8" s="97" t="str">
        <x:v>loaded_voltage_v; open_circuit_voltage_v; reported_power_density_mw_m2</x:v>
      </x:c>
      <x:c r="K8" s="97" t="str">
        <x:v>Yes</x:v>
      </x:c>
      <x:c r="L8" s="97" t="str">
        <x:v>No</x:v>
      </x:c>
      <x:c r="M8" s="97" t="str">
        <x:v>No</x:v>
      </x:c>
      <x:c r="N8" s="97" t="str">
        <x:v>No</x:v>
      </x:c>
      <x:c r="O8" s="97" t="str">
        <x:v>No</x:v>
      </x:c>
      <x:c r="P8" s="97" t="str">
        <x:v>No</x:v>
      </x:c>
      <x:c r="Q8" s="97" t="str">
        <x:v>PRIVATE_SOURCE_NO_REDISTRIBUTION; SUBSTRATE_CONCENTRATION_BASIS_UNCONFIRMED; LOAD_POINTS_DIFFER</x:v>
      </x:c>
      <x:c r="R8" s="97" t="str">
        <x:v>Verify the starch concentration wording and exact peak-power resistance from the source; publish citation and derived facts only.</x:v>
      </x:c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97" t="str">
        <x:v>BV-LIT-010-1000</x:v>
      </x:c>
      <x:c r="B9" s="97" t="str">
        <x:v>BV-LIT-010</x:v>
      </x:c>
      <x:c r="C9" s="97" t="str">
        <x:v>Halophile starch power</x:v>
      </x:c>
      <x:c r="D9" s="101" t="str">
        <x:v>hold_for_reconciliation</x:v>
      </x:c>
      <x:c r="E9" s="97" t="str">
        <x:v>Private reviewed</x:v>
      </x:c>
      <x:c r="F9" s="97" t="str">
        <x:v>PDF 11.pdf</x:v>
      </x:c>
      <x:c r="G9" s="97" t="str">
        <x:v>https://doi.org/10.1016/j.biortech.2018.02.044</x:v>
      </x:c>
      <x:c r="H9" s="97" t="str">
        <x:v>Reported electrode areas are retained, but peak power and current use different load points.</x:v>
      </x:c>
      <x:c r="I9" s="97" t="str">
        <x:v>100-ohm voltage is not assumed to be the polarization peak.</x:v>
      </x:c>
      <x:c r="J9" s="97" t="str">
        <x:v>loaded_voltage_v; open_circuit_voltage_v; reported_power_density_mw_m2</x:v>
      </x:c>
      <x:c r="K9" s="97" t="str">
        <x:v>Yes</x:v>
      </x:c>
      <x:c r="L9" s="97" t="str">
        <x:v>No</x:v>
      </x:c>
      <x:c r="M9" s="97" t="str">
        <x:v>No</x:v>
      </x:c>
      <x:c r="N9" s="97" t="str">
        <x:v>No</x:v>
      </x:c>
      <x:c r="O9" s="97" t="str">
        <x:v>No</x:v>
      </x:c>
      <x:c r="P9" s="97" t="str">
        <x:v>No</x:v>
      </x:c>
      <x:c r="Q9" s="97" t="str">
        <x:v>PRIVATE_SOURCE_NO_REDISTRIBUTION; SUBSTRATE_CONCENTRATION_BASIS_UNCONFIRMED; LOAD_POINTS_DIFFER</x:v>
      </x:c>
      <x:c r="R9" s="97" t="str">
        <x:v>Use as a cited reported optimum only after source-level concentration and load-point confirmation.</x:v>
      </x:c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97" t="str">
        <x:v>BV-LIT-010-2000</x:v>
      </x:c>
      <x:c r="B10" s="97" t="str">
        <x:v>BV-LIT-010</x:v>
      </x:c>
      <x:c r="C10" s="97" t="str">
        <x:v>Halophile starch power</x:v>
      </x:c>
      <x:c r="D10" s="101" t="str">
        <x:v>hold_for_reconciliation</x:v>
      </x:c>
      <x:c r="E10" s="97" t="str">
        <x:v>Private reviewed</x:v>
      </x:c>
      <x:c r="F10" s="97" t="str">
        <x:v>PDF 11.pdf</x:v>
      </x:c>
      <x:c r="G10" s="97" t="str">
        <x:v>https://doi.org/10.1016/j.biortech.2018.02.044</x:v>
      </x:c>
      <x:c r="H10" s="97" t="str">
        <x:v>Reported electrode areas are retained, but peak power and current use different load points.</x:v>
      </x:c>
      <x:c r="I10" s="97" t="str">
        <x:v>100-ohm voltage is not assumed to be the polarization peak.</x:v>
      </x:c>
      <x:c r="J10" s="97" t="str">
        <x:v>loaded_voltage_v; open_circuit_voltage_v; reported_power_density_mw_m2</x:v>
      </x:c>
      <x:c r="K10" s="97" t="str">
        <x:v>Yes</x:v>
      </x:c>
      <x:c r="L10" s="97" t="str">
        <x:v>No</x:v>
      </x:c>
      <x:c r="M10" s="97" t="str">
        <x:v>No</x:v>
      </x:c>
      <x:c r="N10" s="97" t="str">
        <x:v>No</x:v>
      </x:c>
      <x:c r="O10" s="97" t="str">
        <x:v>No</x:v>
      </x:c>
      <x:c r="P10" s="97" t="str">
        <x:v>No</x:v>
      </x:c>
      <x:c r="Q10" s="97" t="str">
        <x:v>PRIVATE_SOURCE_NO_REDISTRIBUTION; SUBSTRATE_CONCENTRATION_BASIS_UNCONFIRMED; LOAD_POINTS_DIFFER</x:v>
      </x:c>
      <x:c r="R10" s="97" t="str">
        <x:v>Keep the salinity condition as a private-source reference pending the same reconciliation.</x:v>
      </x:c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97" t="str">
        <x:v>BV-LIT-010-3000</x:v>
      </x:c>
      <x:c r="B11" s="97" t="str">
        <x:v>BV-LIT-010</x:v>
      </x:c>
      <x:c r="C11" s="97" t="str">
        <x:v>Halophile starch power</x:v>
      </x:c>
      <x:c r="D11" s="101" t="str">
        <x:v>hold_for_reconciliation</x:v>
      </x:c>
      <x:c r="E11" s="97" t="str">
        <x:v>Private reviewed</x:v>
      </x:c>
      <x:c r="F11" s="97" t="str">
        <x:v>PDF 11.pdf</x:v>
      </x:c>
      <x:c r="G11" s="97" t="str">
        <x:v>https://doi.org/10.1016/j.biortech.2018.02.044</x:v>
      </x:c>
      <x:c r="H11" s="97" t="str">
        <x:v>Reported electrode areas are retained, but peak power and current use different load points.</x:v>
      </x:c>
      <x:c r="I11" s="97" t="str">
        <x:v>100-ohm voltage is not assumed to be the polarization peak.</x:v>
      </x:c>
      <x:c r="J11" s="97" t="str">
        <x:v>loaded_voltage_v; open_circuit_voltage_v; reported_power_density_mw_m2</x:v>
      </x:c>
      <x:c r="K11" s="97" t="str">
        <x:v>Yes</x:v>
      </x:c>
      <x:c r="L11" s="97" t="str">
        <x:v>No</x:v>
      </x:c>
      <x:c r="M11" s="97" t="str">
        <x:v>No</x:v>
      </x:c>
      <x:c r="N11" s="97" t="str">
        <x:v>No</x:v>
      </x:c>
      <x:c r="O11" s="97" t="str">
        <x:v>No</x:v>
      </x:c>
      <x:c r="P11" s="97" t="str">
        <x:v>No</x:v>
      </x:c>
      <x:c r="Q11" s="97" t="str">
        <x:v>PRIVATE_SOURCE_NO_REDISTRIBUTION; SUBSTRATE_CONCENTRATION_BASIS_UNCONFIRMED; LOAD_POINTS_DIFFER</x:v>
      </x:c>
      <x:c r="R11" s="97" t="str">
        <x:v>Keep treatment and power optima separate; the highest starch removal is not the highest power condition.</x:v>
      </x:c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97" t="str">
        <x:v>BV-LIT-007-YEAST-AU</x:v>
      </x:c>
      <x:c r="B12" s="97" t="str">
        <x:v>BV-LIT-007</x:v>
      </x:c>
      <x:c r="C12" s="97" t="str">
        <x:v>Modified-electrode material context</x:v>
      </x:c>
      <x:c r="D12" s="105" t="str">
        <x:v>context_only</x:v>
      </x:c>
      <x:c r="E12" s="97" t="str">
        <x:v>Public</x:v>
      </x:c>
      <x:c r="F12" s="97" t="str">
        <x:v>Public full text; no local PDF</x:v>
      </x:c>
      <x:c r="G12" s="97" t="str">
        <x:v>https://doi.org/10.3390/microorganisms13081938</x:v>
      </x:c>
      <x:c r="H12" s="97" t="str">
        <x:v>Reported paper basis retained; mediator and modified-electrode system are not comparable to the operating rows.</x:v>
      </x:c>
      <x:c r="I12" s="97" t="str">
        <x:v>455 mV is open-circuit potential and never a loaded-voltage input.</x:v>
      </x:c>
      <x:c r="J12" s="97" t="str">
        <x:v>open_circuit_voltage_v; reported_power_density_mw_m2_as_material_context</x:v>
      </x:c>
      <x:c r="K12" s="97" t="str">
        <x:v>Yes</x:v>
      </x:c>
      <x:c r="L12" s="97" t="str">
        <x:v>No</x:v>
      </x:c>
      <x:c r="M12" s="97" t="str">
        <x:v>No</x:v>
      </x:c>
      <x:c r="N12" s="97" t="str">
        <x:v>No</x:v>
      </x:c>
      <x:c r="O12" s="97" t="str">
        <x:v>No</x:v>
      </x:c>
      <x:c r="P12" s="97" t="str">
        <x:v>No</x:v>
      </x:c>
      <x:c r="Q12" s="97" t="str">
        <x:v>OPEN_CIRCUIT_NOT_LOADED; MEDIATOR_AND_SURFACE_MODIFICATION_MISMATCH</x:v>
      </x:c>
      <x:c r="R12" s="97" t="str">
        <x:v>Use only in explanatory material about electrode modification and electron-transfer features.</x:v>
      </x:c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 s="97" t="str">
        <x:v>BV-LIT-008-PSEUDOMONAS</x:v>
      </x:c>
      <x:c r="B13" s="97" t="str">
        <x:v>BV-LIT-008</x:v>
      </x:c>
      <x:c r="C13" s="97" t="str">
        <x:v>Strain and substrate feature evidence</x:v>
      </x:c>
      <x:c r="D13" s="105" t="str">
        <x:v>context_only</x:v>
      </x:c>
      <x:c r="E13" s="97" t="str">
        <x:v>Public</x:v>
      </x:c>
      <x:c r="F13" s="97" t="str">
        <x:v>Public full text; no local PDF</x:v>
      </x:c>
      <x:c r="G13" s="97" t="str">
        <x:v>https://doi.org/10.1128/AEM.01342-16</x:v>
      </x:c>
      <x:c r="H13" s="97" t="str">
        <x:v>Bioelectrochemical current density is not directly comparable with the MFC power-density rows.</x:v>
      </x:c>
      <x:c r="I13" s="97" t="str">
        <x:v>No comparable loaded MFC voltage or external resistance.</x:v>
      </x:c>
      <x:c r="J13" s="97" t="str">
        <x:v>qualitative_strain_substrate_feature</x:v>
      </x:c>
      <x:c r="K13" s="97" t="str">
        <x:v>No</x:v>
      </x:c>
      <x:c r="L13" s="97" t="str">
        <x:v>No</x:v>
      </x:c>
      <x:c r="M13" s="97" t="str">
        <x:v>No</x:v>
      </x:c>
      <x:c r="N13" s="97" t="str">
        <x:v>No</x:v>
      </x:c>
      <x:c r="O13" s="97" t="str">
        <x:v>No</x:v>
      </x:c>
      <x:c r="P13" s="97" t="str">
        <x:v>No</x:v>
      </x:c>
      <x:c r="Q13" s="97" t="str">
        <x:v>NON_MFC_BIOELECTROCHEMICAL_CONTEXT; UNIT_CONVERSION_REVIEW</x:v>
      </x:c>
      <x:c r="R13" s="97" t="str">
        <x:v>Correct the converted current-density field before any future numerical reuse; retain the paper as feature evidence now.</x:v>
      </x:c>
      <x:c r="S13" s="1"/>
      <x:c r="T13" s="1"/>
      <x:c r="U13" s="1"/>
      <x:c r="V13" s="1"/>
      <x:c r="W13" s="1"/>
      <x:c r="X13" s="1"/>
      <x:c r="Y13" s="1"/>
      <x:c r="Z13" s="1"/>
    </x:row>
    <x:row r="14" ht="42" customHeight="1">
      <x:c r="A14" s="97" t="str">
        <x:v>BV-LIT-012-MFC-1000</x:v>
      </x:c>
      <x:c r="B14" s="97" t="str">
        <x:v>BV-LIT-012</x:v>
      </x:c>
      <x:c r="C14" s="97" t="str">
        <x:v>Wastewater COD under power-producing MFC operation</x:v>
      </x:c>
      <x:c r="D14" s="107" t="str">
        <x:v>treatment_reference</x:v>
      </x:c>
      <x:c r="E14" s="97" t="str">
        <x:v>Public</x:v>
      </x:c>
      <x:c r="F14" s="97" t="str">
        <x:v>COD removal.pdf</x:v>
      </x:c>
      <x:c r="G14" s="97" t="str">
        <x:v>https://doi.org/10.1080/08927014.2011.564615</x:v>
      </x:c>
      <x:c r="H14" s="97" t="str">
        <x:v>Not required for COD removal; no power-density value is carried into the calculator.</x:v>
      </x:c>
      <x:c r="I14" s="97" t="str">
        <x:v>Power-producing MFC operated at 1000 ohm.</x:v>
      </x:c>
      <x:c r="J14" s="97" t="str">
        <x:v>cod_removal_percent</x:v>
      </x:c>
      <x:c r="K14" s="97" t="str">
        <x:v>No</x:v>
      </x:c>
      <x:c r="L14" s="97" t="str">
        <x:v>Yes</x:v>
      </x:c>
      <x:c r="M14" s="97" t="str">
        <x:v>No</x:v>
      </x:c>
      <x:c r="N14" s="97" t="str">
        <x:v>Yes</x:v>
      </x:c>
      <x:c r="O14" s="97" t="str">
        <x:v>No</x:v>
      </x:c>
      <x:c r="P14" s="97" t="str">
        <x:v>No</x:v>
      </x:c>
      <x:c r="Q14" s="97" t="str">
        <x:v>SINGLE_STUDY_REFERENCE; BACKGROUND_SUBTRACTION_CONTEXT</x:v>
      </x:c>
      <x:c r="R14" s="97" t="str">
        <x:v>Display raw and background-adjusted interpretations separately and match the 24-hour duration.</x:v>
      </x:c>
      <x:c r="S14" s="1"/>
      <x:c r="T14" s="1"/>
      <x:c r="U14" s="1"/>
      <x:c r="V14" s="1"/>
      <x:c r="W14" s="1"/>
      <x:c r="X14" s="1"/>
      <x:c r="Y14" s="1"/>
      <x:c r="Z14" s="1"/>
    </x:row>
    <x:row r="15" ht="42" customHeight="1">
      <x:c r="A15" s="97" t="str">
        <x:v>BV-LIT-012-SHORT</x:v>
      </x:c>
      <x:c r="B15" s="97" t="str">
        <x:v>BV-LIT-012</x:v>
      </x:c>
      <x:c r="C15" s="97" t="str">
        <x:v>Wastewater COD under short circuit</x:v>
      </x:c>
      <x:c r="D15" s="107" t="str">
        <x:v>treatment_reference</x:v>
      </x:c>
      <x:c r="E15" s="97" t="str">
        <x:v>Public</x:v>
      </x:c>
      <x:c r="F15" s="97" t="str">
        <x:v>COD removal.pdf</x:v>
      </x:c>
      <x:c r="G15" s="97" t="str">
        <x:v>https://doi.org/10.1080/08927014.2011.564615</x:v>
      </x:c>
      <x:c r="H15" s="97" t="str">
        <x:v>Not required for COD removal; this row is never a power benchmark.</x:v>
      </x:c>
      <x:c r="I15" s="97" t="str">
        <x:v>Short circuit; no harvestable external power.</x:v>
      </x:c>
      <x:c r="J15" s="97" t="str">
        <x:v>cod_removal_percent</x:v>
      </x:c>
      <x:c r="K15" s="97" t="str">
        <x:v>No</x:v>
      </x:c>
      <x:c r="L15" s="97" t="str">
        <x:v>Yes</x:v>
      </x:c>
      <x:c r="M15" s="97" t="str">
        <x:v>No</x:v>
      </x:c>
      <x:c r="N15" s="97" t="str">
        <x:v>Yes</x:v>
      </x:c>
      <x:c r="O15" s="97" t="str">
        <x:v>No</x:v>
      </x:c>
      <x:c r="P15" s="97" t="str">
        <x:v>No</x:v>
      </x:c>
      <x:c r="Q15" s="97" t="str">
        <x:v>NO_HARVESTABLE_POWER; SINGLE_STUDY_REFERENCE; BACKGROUND_SUBTRACTION_CONTEXT</x:v>
      </x:c>
      <x:c r="R15" s="97" t="str">
        <x:v>Show only when the user explicitly selects short-circuit treatment mode.</x:v>
      </x:c>
      <x:c r="S15" s="1"/>
      <x:c r="T15" s="1"/>
      <x:c r="U15" s="1"/>
      <x:c r="V15" s="1"/>
      <x:c r="W15" s="1"/>
      <x:c r="X15" s="1"/>
      <x:c r="Y15" s="1"/>
      <x:c r="Z15" s="1"/>
    </x:row>
    <x:row r="16" ht="42" customHeight="1">
      <x:c r="A16" s="97" t="str">
        <x:v>BV-LIT-012-MES</x:v>
      </x:c>
      <x:c r="B16" s="97" t="str">
        <x:v>BV-LIT-012</x:v>
      </x:c>
      <x:c r="C16" s="97" t="str">
        <x:v>Wastewater COD under microbial electrochemical snorkel operation</x:v>
      </x:c>
      <x:c r="D16" s="107" t="str">
        <x:v>treatment_reference</x:v>
      </x:c>
      <x:c r="E16" s="97" t="str">
        <x:v>Public</x:v>
      </x:c>
      <x:c r="F16" s="97" t="str">
        <x:v>COD removal.pdf</x:v>
      </x:c>
      <x:c r="G16" s="97" t="str">
        <x:v>https://doi.org/10.1080/08927014.2011.564615</x:v>
      </x:c>
      <x:c r="H16" s="97" t="str">
        <x:v>Not required for COD removal; MES is a treatment configuration, not a power-producing MFC output.</x:v>
      </x:c>
      <x:c r="I16" s="97" t="str">
        <x:v>Internally shorted microbial electrochemical snorkel; no harvestable external power.</x:v>
      </x:c>
      <x:c r="J16" s="97" t="str">
        <x:v>cod_removal_percent</x:v>
      </x:c>
      <x:c r="K16" s="97" t="str">
        <x:v>No</x:v>
      </x:c>
      <x:c r="L16" s="97" t="str">
        <x:v>Yes</x:v>
      </x:c>
      <x:c r="M16" s="97" t="str">
        <x:v>No</x:v>
      </x:c>
      <x:c r="N16" s="97" t="str">
        <x:v>Yes</x:v>
      </x:c>
      <x:c r="O16" s="97" t="str">
        <x:v>No</x:v>
      </x:c>
      <x:c r="P16" s="97" t="str">
        <x:v>No</x:v>
      </x:c>
      <x:c r="Q16" s="97" t="str">
        <x:v>NO_HARVESTABLE_POWER; NON_MFC_TREATMENT_CONFIGURATION; SINGLE_STUDY_REFERENCE</x:v>
      </x:c>
      <x:c r="R16" s="97" t="str">
        <x:v>Keep MES results outside the electricity-calculator recommendation path.</x:v>
      </x:c>
      <x:c r="S16" s="1"/>
      <x:c r="T16" s="1"/>
      <x:c r="U16" s="1"/>
      <x:c r="V16" s="1"/>
      <x:c r="W16" s="1"/>
      <x:c r="X16" s="1"/>
      <x:c r="Y16" s="1"/>
      <x:c r="Z16" s="1"/>
    </x:row>
    <x:row r="17" ht="42" customHeight="1">
      <x:c r="A17" s="97" t="str">
        <x:v>BV-SUP-001-BIOCHAR</x:v>
      </x:c>
      <x:c r="B17" s="97" t="str">
        <x:v>BV-SUP-001</x:v>
      </x:c>
      <x:c r="C17" s="97" t="str">
        <x:v>Fouling and durability feature context</x:v>
      </x:c>
      <x:c r="D17" s="105" t="str">
        <x:v>context_only</x:v>
      </x:c>
      <x:c r="E17" s="97" t="str">
        <x:v>Public</x:v>
      </x:c>
      <x:c r="F17" s="97" t="str">
        <x:v>PDF 7.pdf</x:v>
      </x:c>
      <x:c r="G17" s="97" t="str">
        <x:v>https://doi.org/10.3390/pr9111941</x:v>
      </x:c>
      <x:c r="H17" s="97" t="str">
        <x:v>Reported W m-2 kg-1 combines cathode area and treated biomass and cannot be converted safely to conventional mW/m2.</x:v>
      </x:c>
      <x:c r="I17" s="97" t="str">
        <x:v>1000-ohm operating context; numerical output excluded because normalization is incompatible.</x:v>
      </x:c>
      <x:c r="J17" s="97" t="str">
        <x:v>qualitative_fouling_feature; qualitative_ph_decline_feature; reuse_cycles</x:v>
      </x:c>
      <x:c r="K17" s="97" t="str">
        <x:v>No</x:v>
      </x:c>
      <x:c r="L17" s="97" t="str">
        <x:v>No</x:v>
      </x:c>
      <x:c r="M17" s="97" t="str">
        <x:v>No</x:v>
      </x:c>
      <x:c r="N17" s="97" t="str">
        <x:v>No</x:v>
      </x:c>
      <x:c r="O17" s="97" t="str">
        <x:v>No</x:v>
      </x:c>
      <x:c r="P17" s="97" t="str">
        <x:v>No</x:v>
      </x:c>
      <x:c r="Q17" s="97" t="str">
        <x:v>UNUSUAL_DUAL_NORMALIZATION</x:v>
      </x:c>
      <x:c r="R17" s="97" t="str">
        <x:v>Use for future fouling-alert features, not electricity estimation.</x:v>
      </x:c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dataValidations count="1">
    <x:dataValidation type="list" sqref="D2:D17">
      <x:formula1>"reference_ready,treatment_reference,hold_for_reconciliation,context_only"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6fc48d2b4943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8" hidden="0" customWidth="1"/>
    <x:col min="5" max="5" width="52" hidden="0" customWidth="1"/>
    <x:col min="6" max="6" width="52" hidden="0" customWidth="1"/>
    <x:col min="7" max="7" width="52" hidden="0" customWidth="1"/>
    <x:col min="8" max="8" width="14" hidden="0" customWidth="1"/>
  </x:cols>
  <x:sheetData>
    <x:row r="1" ht="30" customHeight="1">
      <x:c r="A1" s="108" t="str">
        <x:v>Issue ID</x:v>
      </x:c>
      <x:c r="B1" s="108" t="str">
        <x:v>Severity</x:v>
      </x:c>
      <x:c r="C1" s="108" t="str">
        <x:v>Affected conditions</x:v>
      </x:c>
      <x:c r="D1" s="108" t="str">
        <x:v>Target</x:v>
      </x:c>
      <x:c r="E1" s="108" t="str">
        <x:v>Finding</x:v>
      </x:c>
      <x:c r="F1" s="108" t="str">
        <x:v>Phase 2 decision</x:v>
      </x:c>
      <x:c r="G1" s="108" t="str">
        <x:v>Closure criterion</x:v>
      </x:c>
      <x:c r="H1" s="108" t="str">
        <x:v>Status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52" customHeight="1">
      <x:c r="A2" s="96" t="str">
        <x:v>P2-01</x:v>
      </x:c>
      <x:c r="B2" s="96" t="str">
        <x:v>High</x:v>
      </x:c>
      <x:c r="C2" s="96" t="str">
        <x:v>BV-LIT-009-G-100; BV-LIT-009-F-100; BV-LIT-009-S-100; BV-LIT-009-G-PMAX</x:v>
      </x:c>
      <x:c r="D2" s="96" t="str">
        <x:v>Power</x:v>
      </x:c>
      <x:c r="E2" s="96" t="str">
        <x:v>Electrode is described as 3 x 5 cm, while reported values imply about 30 cm2.</x:v>
      </x:c>
      <x:c r="F2" s="96" t="str">
        <x:v>Hold power matching; preserve reported results.</x:v>
      </x:c>
      <x:c r="G2" s="96" t="str">
        <x:v>Source explicitly confirms geometric or two-face area basis.</x:v>
      </x:c>
      <x:c r="H2" s="96" t="str">
        <x:v>Open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52" customHeight="1">
      <x:c r="A3" s="97" t="str">
        <x:v>P2-02</x:v>
      </x:c>
      <x:c r="B3" s="97" t="str">
        <x:v>Critical</x:v>
      </x:c>
      <x:c r="C3" s="97" t="str">
        <x:v>BV-LIT-009-S-100</x:v>
      </x:c>
      <x:c r="D3" s="97" t="str">
        <x:v>Current density</x:v>
      </x:c>
      <x:c r="E3" s="97" t="str">
        <x:v>Reported current density conflicts by orders of magnitude with V/R and plausible area.</x:v>
      </x:c>
      <x:c r="F3" s="97" t="str">
        <x:v>Exclude the current-density metric.</x:v>
      </x:c>
      <x:c r="G3" s="97" t="str">
        <x:v>Original figure, table or erratum resolves the unit/value.</x:v>
      </x:c>
      <x:c r="H3" s="97" t="str">
        <x:v>Open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52" customHeight="1">
      <x:c r="A4" s="97" t="str">
        <x:v>P2-03</x:v>
      </x:c>
      <x:c r="B4" s="97" t="str">
        <x:v>High</x:v>
      </x:c>
      <x:c r="C4" s="97" t="str">
        <x:v>BV-LIT-011-20; BV-LIT-011-40</x:v>
      </x:c>
      <x:c r="D4" s="97" t="str">
        <x:v>Power/current</x:v>
      </x:c>
      <x:c r="E4" s="97" t="str">
        <x:v>Peak power is at 100 ohm; maximum current density is at 5 ohm.</x:v>
      </x:c>
      <x:c r="F4" s="97" t="str">
        <x:v>Allow power reference; exclude mixed-point reconciliation.</x:v>
      </x:c>
      <x:c r="G4" s="97" t="str">
        <x:v>Resistance-specific polarization points are stored separately.</x:v>
      </x:c>
      <x:c r="H4" s="97" t="str">
        <x:v>Controlled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52" customHeight="1">
      <x:c r="A5" s="97" t="str">
        <x:v>P2-04</x:v>
      </x:c>
      <x:c r="B5" s="97" t="str">
        <x:v>High</x:v>
      </x:c>
      <x:c r="C5" s="97" t="str">
        <x:v>BV-LIT-010-500; BV-LIT-010-1000; BV-LIT-010-2000; BV-LIT-010-3000</x:v>
      </x:c>
      <x:c r="D5" s="97" t="str">
        <x:v>Substrate</x:v>
      </x:c>
      <x:c r="E5" s="97" t="str">
        <x:v>The reviewed text must be checked for 12 g/L versus 12 g per anolyte volume.</x:v>
      </x:c>
      <x:c r="F5" s="97" t="str">
        <x:v>Hold similarity matching.</x:v>
      </x:c>
      <x:c r="G5" s="97" t="str">
        <x:v>Concentration basis is verified against the source.</x:v>
      </x:c>
      <x:c r="H5" s="97" t="str">
        <x:v>Open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52" customHeight="1">
      <x:c r="A6" s="97" t="str">
        <x:v>P2-05</x:v>
      </x:c>
      <x:c r="B6" s="97" t="str">
        <x:v>High</x:v>
      </x:c>
      <x:c r="C6" s="97" t="str">
        <x:v>BV-LIT-010-500; BV-LIT-010-1000; BV-LIT-010-2000; BV-LIT-010-3000</x:v>
      </x:c>
      <x:c r="D6" s="97" t="str">
        <x:v>Access</x:v>
      </x:c>
      <x:c r="E6" s="97" t="str">
        <x:v>Full text is privately reviewed and may not be redistributed.</x:v>
      </x:c>
      <x:c r="F6" s="97" t="str">
        <x:v>Publish DOI, citation and derived fields only.</x:v>
      </x:c>
      <x:c r="G6" s="97" t="str">
        <x:v>Licensing permits distribution or public full text becomes available.</x:v>
      </x:c>
      <x:c r="H6" s="97" t="str">
        <x:v>Controlled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52" customHeight="1">
      <x:c r="A7" s="97" t="str">
        <x:v>P2-06</x:v>
      </x:c>
      <x:c r="B7" s="97" t="str">
        <x:v>High</x:v>
      </x:c>
      <x:c r="C7" s="97" t="str">
        <x:v>BV-LIT-008-PSEUDOMONAS</x:v>
      </x:c>
      <x:c r="D7" s="97" t="str">
        <x:v>Current density</x:v>
      </x:c>
      <x:c r="E7" s="97" t="str">
        <x:v>The audit conversion needs correction before numerical reuse.</x:v>
      </x:c>
      <x:c r="F7" s="97" t="str">
        <x:v>Context-only feature evidence.</x:v>
      </x:c>
      <x:c r="G7" s="97" t="str">
        <x:v>Value and unit are re-extracted and conversion is independently checked.</x:v>
      </x:c>
      <x:c r="H7" s="97" t="str">
        <x:v>Open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52" customHeight="1">
      <x:c r="A8" s="97" t="str">
        <x:v>P2-07</x:v>
      </x:c>
      <x:c r="B8" s="97" t="str">
        <x:v>Critical</x:v>
      </x:c>
      <x:c r="C8" s="97" t="str">
        <x:v>BV-LIT-012-SHORT; BV-LIT-012-MES</x:v>
      </x:c>
      <x:c r="D8" s="97" t="str">
        <x:v>Optimization</x:v>
      </x:c>
      <x:c r="E8" s="97" t="str">
        <x:v>Best treatment conditions do not provide harvestable external power.</x:v>
      </x:c>
      <x:c r="F8" s="97" t="str">
        <x:v>Block from electricity recommendation path.</x:v>
      </x:c>
      <x:c r="G8" s="97" t="str">
        <x:v>Permanent scientific rule; no closure required.</x:v>
      </x:c>
      <x:c r="H8" s="97" t="str">
        <x:v>Controlled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52" customHeight="1">
      <x:c r="A9" s="97" t="str">
        <x:v>P2-08</x:v>
      </x:c>
      <x:c r="B9" s="97" t="str">
        <x:v>High</x:v>
      </x:c>
      <x:c r="C9" s="97" t="str">
        <x:v>BV-SUP-001-BIOCHAR</x:v>
      </x:c>
      <x:c r="D9" s="97" t="str">
        <x:v>Normalization</x:v>
      </x:c>
      <x:c r="E9" s="97" t="str">
        <x:v>W m-2 kg-1 combines area and treated-mass normalization.</x:v>
      </x:c>
      <x:c r="F9" s="97" t="str">
        <x:v>Context-only for fouling and durability.</x:v>
      </x:c>
      <x:c r="G9" s="97" t="str">
        <x:v>A conventional area-normalized result is reported by the source.</x:v>
      </x:c>
      <x:c r="H9" s="97" t="str">
        <x:v>Controlled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52" customHeight="1">
      <x:c r="A10" s="97" t="str">
        <x:v>P2-09</x:v>
      </x:c>
      <x:c r="B10" s="97" t="str">
        <x:v>Critical</x:v>
      </x:c>
      <x:c r="C10" s="97" t="str">
        <x:v>All</x:v>
      </x:c>
      <x:c r="D10" s="97" t="str">
        <x:v>Evidence independence</x:v>
      </x:c>
      <x:c r="E10" s="97" t="str">
        <x:v>Several conditions from one paper are not independent studies.</x:v>
      </x:c>
      <x:c r="F10" s="97" t="str">
        <x:v>No pooled estimate or confidence interval.</x:v>
      </x:c>
      <x:c r="G10" s="97" t="str">
        <x:v>At least 2 independent papers for an estimate; 3 papers and 5 conditions for a supported range.</x:v>
      </x:c>
      <x:c r="H10" s="97" t="str">
        <x:v>Open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conditionalFormatting sqref="B2:B10">
    <x:cfRule type="containsText" dxfId="0" priority="1" operator="containsText" text="Critical"/>
    <x:cfRule type="containsText" dxfId="1" priority="2" operator="containsText" text="High"/>
  </x:conditionalFormatting>
  <x:conditionalFormatting sqref="H2:H10">
    <x:cfRule type="containsText" dxfId="2" priority="3" operator="containsText" text="Controlled"/>
    <x:cfRule type="containsText" dxfId="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0eaf0202f52b4d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4" hidden="0" customWidth="1"/>
    <x:col min="5" max="5" width="45" hidden="0" customWidth="1"/>
    <x:col min="6" max="6" width="45" hidden="0" customWidth="1"/>
    <x:col min="7" max="7" width="45" hidden="0" customWidth="1"/>
  </x:cols>
  <x:sheetData>
    <x:row r="1" ht="30" customHeight="1">
      <x:c r="A1" s="109" t="str">
        <x:v>Target domain</x:v>
      </x:c>
      <x:c r="B1" s="109" t="str">
        <x:v>Conditions</x:v>
      </x:c>
      <x:c r="C1" s="109" t="str">
        <x:v>Independent papers</x:v>
      </x:c>
      <x:c r="D1" s="109" t="str">
        <x:v>Current status</x:v>
      </x:c>
      <x:c r="E1" s="109" t="str">
        <x:v>Permitted output</x:v>
      </x:c>
      <x:c r="F1" s="109" t="str">
        <x:v>Primary limitation</x:v>
      </x:c>
      <x:c r="G1" s="109" t="str">
        <x:v>Next evidence needed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8" customHeight="1">
      <x:c r="A2" s="96" t="str">
        <x:v>Measured electrical formula</x:v>
      </x:c>
      <x:c r="B2" s="96" t="str">
        <x:v>Synthetic validation</x:v>
      </x:c>
      <x:c r="C2" s="96" t="str">
        <x:v>Not applicable</x:v>
      </x:c>
      <x:c r="D2" s="96" t="str">
        <x:v>GO</x:v>
      </x:c>
      <x:c r="E2" s="96" t="str">
        <x:v>Calculated current, power, density and energy</x:v>
      </x:c>
      <x:c r="F2" s="96" t="str">
        <x:v>Requires valid measured inputs</x:v>
      </x:c>
      <x:c r="G2" s="96" t="str">
        <x:v>Implement and test Phase 1 cases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8" customHeight="1">
      <x:c r="A3" s="97" t="str">
        <x:v>Halophile + acetate power</x:v>
      </x:c>
      <x:c r="B3" s="97" t="n">
        <x:v>2</x:v>
      </x:c>
      <x:c r="C3" s="97" t="n">
        <x:v>1</x:v>
      </x:c>
      <x:c r="D3" s="97" t="str">
        <x:v>LOW-TIER REFERENCE</x:v>
      </x:c>
      <x:c r="E3" s="97" t="str">
        <x:v>One cited reference at a time</x:v>
      </x:c>
      <x:c r="F3" s="97" t="str">
        <x:v>Only one independent paper; 20-40 g/L range</x:v>
      </x:c>
      <x:c r="G3" s="97" t="str">
        <x:v>At least 2 more comparable primary papers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8" customHeight="1">
      <x:c r="A4" s="97" t="str">
        <x:v>Halophile + acetate COD</x:v>
      </x:c>
      <x:c r="B4" s="97" t="n">
        <x:v>2</x:v>
      </x:c>
      <x:c r="C4" s="97" t="n">
        <x:v>1</x:v>
      </x:c>
      <x:c r="D4" s="97" t="str">
        <x:v>LOW-TIER REFERENCE</x:v>
      </x:c>
      <x:c r="E4" s="97" t="str">
        <x:v>One cited COD reference at a time</x:v>
      </x:c>
      <x:c r="F4" s="97" t="str">
        <x:v>Only one independent paper</x:v>
      </x:c>
      <x:c r="G4" s="97" t="str">
        <x:v>Comparable duration, COD loading and replicate data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8" customHeight="1">
      <x:c r="A5" s="97" t="str">
        <x:v>Pseudomonas + sugar power</x:v>
      </x:c>
      <x:c r="B5" s="97" t="n">
        <x:v>4</x:v>
      </x:c>
      <x:c r="C5" s="97" t="n">
        <x:v>1</x:v>
      </x:c>
      <x:c r="D5" s="97" t="str">
        <x:v>HOLD</x:v>
      </x:c>
      <x:c r="E5" s="97" t="str">
        <x:v>Reported result with reconciliation warning</x:v>
      </x:c>
      <x:c r="F5" s="97" t="str">
        <x:v>Area basis not explicit; sucrose current conflict</x:v>
      </x:c>
      <x:c r="G5" s="97" t="str">
        <x:v>Explicit normalization and load-specific points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8" customHeight="1">
      <x:c r="A6" s="97" t="str">
        <x:v>Pseudomonas + sugar COD</x:v>
      </x:c>
      <x:c r="B6" s="97" t="n">
        <x:v>3</x:v>
      </x:c>
      <x:c r="C6" s="97" t="n">
        <x:v>1</x:v>
      </x:c>
      <x:c r="D6" s="97" t="str">
        <x:v>LOW-TIER REFERENCE</x:v>
      </x:c>
      <x:c r="E6" s="97" t="str">
        <x:v>One cited COD reference at a time</x:v>
      </x:c>
      <x:c r="F6" s="97" t="str">
        <x:v>Single paper and incomplete duration context</x:v>
      </x:c>
      <x:c r="G6" s="97" t="str">
        <x:v>Independent comparable studies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8" customHeight="1">
      <x:c r="A7" s="97" t="str">
        <x:v>Halophile + starch power</x:v>
      </x:c>
      <x:c r="B7" s="97" t="n">
        <x:v>4</x:v>
      </x:c>
      <x:c r="C7" s="97" t="n">
        <x:v>1</x:v>
      </x:c>
      <x:c r="D7" s="97" t="str">
        <x:v>HOLD</x:v>
      </x:c>
      <x:c r="E7" s="97" t="str">
        <x:v>Private-source reported result only</x:v>
      </x:c>
      <x:c r="F7" s="97" t="str">
        <x:v>Concentration and load-point questions</x:v>
      </x:c>
      <x:c r="G7" s="97" t="str">
        <x:v>Source-level reconciliation + public comparable paper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8" customHeight="1">
      <x:c r="A8" s="97" t="str">
        <x:v>Urban wastewater COD</x:v>
      </x:c>
      <x:c r="B8" s="97" t="n">
        <x:v>3</x:v>
      </x:c>
      <x:c r="C8" s="97" t="n">
        <x:v>1</x:v>
      </x:c>
      <x:c r="D8" s="97" t="str">
        <x:v>TREATMENT REFERENCE</x:v>
      </x:c>
      <x:c r="E8" s="97" t="str">
        <x:v>Circuit-mode-specific cited result</x:v>
      </x:c>
      <x:c r="F8" s="97" t="str">
        <x:v>One paper; modes optimize different objectives</x:v>
      </x:c>
      <x:c r="G8" s="97" t="str">
        <x:v>Independent power-producing MFC comparisons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8" customHeight="1">
      <x:c r="A9" s="97" t="str">
        <x:v>Yeast + modified electrode</x:v>
      </x:c>
      <x:c r="B9" s="97" t="n">
        <x:v>1</x:v>
      </x:c>
      <x:c r="C9" s="97" t="n">
        <x:v>1</x:v>
      </x:c>
      <x:c r="D9" s="97" t="str">
        <x:v>CONTEXT ONLY</x:v>
      </x:c>
      <x:c r="E9" s="97" t="str">
        <x:v>Materials explanation</x:v>
      </x:c>
      <x:c r="F9" s="97" t="str">
        <x:v>Mediator and surface modification mismatch</x:v>
      </x:c>
      <x:c r="G9" s="97" t="str">
        <x:v>Comparable loaded MFC studies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8" customHeight="1">
      <x:c r="A10" s="97" t="str">
        <x:v>Biochar fouling</x:v>
      </x:c>
      <x:c r="B10" s="97" t="n">
        <x:v>1</x:v>
      </x:c>
      <x:c r="C10" s="97" t="n">
        <x:v>1</x:v>
      </x:c>
      <x:c r="D10" s="97" t="str">
        <x:v>CONTEXT ONLY</x:v>
      </x:c>
      <x:c r="E10" s="97" t="str">
        <x:v>Fouling/durability feature rationale</x:v>
      </x:c>
      <x:c r="F10" s="97" t="str">
        <x:v>Incompatible dual normalization</x:v>
      </x:c>
      <x:c r="G10" s="97" t="str">
        <x:v>Time-series power, pH and fouling measurements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conditionalFormatting sqref="D2:D10">
    <x:cfRule type="containsText" dxfId="4" priority="1" operator="containsText" text="GO"/>
    <x:cfRule type="containsText" dxfId="5" priority="2" operator="containsText" text="REFERENCE"/>
    <x:cfRule type="containsText" dxfId="6" priority="3" operator="containsText" text="HOLD"/>
    <x:cfRule type="containsText" dxfId="7" priority="4" operator="containsText" text="CONTEXT"/>
  </x:conditionalFormatting>
  <x:pageMargins left="0.7" right="0.7" top="0.75" bottom="0.75" header="0.3" footer="0.3"/>
  <x:tableParts count="1">
    <x:tablePart xmlns:r="http://schemas.openxmlformats.org/officeDocument/2006/relationships" r:id="Re7f39d4c1bc74095"/>
  </x:tableParts>
</x:worksheet>
</file>